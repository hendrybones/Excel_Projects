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ducation\Excel Data Analysis\Analyzed Data\"/>
    </mc:Choice>
  </mc:AlternateContent>
  <bookViews>
    <workbookView xWindow="0" yWindow="0" windowWidth="16815" windowHeight="7500" activeTab="2"/>
  </bookViews>
  <sheets>
    <sheet name="Employee Master" sheetId="3" r:id="rId1"/>
    <sheet name="Database" sheetId="4" r:id="rId2"/>
    <sheet name="settings" sheetId="1" r:id="rId3"/>
    <sheet name="Attendance sheet" sheetId="5" r:id="rId4"/>
    <sheet name="Mark Attendance" sheetId="6" r:id="rId5"/>
  </sheets>
  <definedNames>
    <definedName name="Attendance_list">OFFSET(settings!$A$2,,,COUNTA(settings!$A:$A)-1,1)</definedName>
    <definedName name="Month">OFFSET(settings!$C$2,,,COUNTA(settings!$C:$C)-1,1)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" l="1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C8" i="5"/>
  <c r="E4" i="6" l="1"/>
  <c r="F4" i="6" s="1"/>
  <c r="G4" i="6" s="1"/>
  <c r="H4" i="6" s="1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AC4" i="6" s="1"/>
  <c r="AD4" i="6" s="1"/>
  <c r="AE4" i="6" s="1"/>
  <c r="AF4" i="6" s="1"/>
  <c r="AG4" i="6" s="1"/>
  <c r="AH4" i="6" s="1"/>
  <c r="AI4" i="6" s="1"/>
  <c r="AJ4" i="6" s="1"/>
  <c r="AK4" i="6" s="1"/>
  <c r="AL4" i="6" s="1"/>
  <c r="AM4" i="6" s="1"/>
  <c r="AN4" i="6" s="1"/>
  <c r="AO4" i="6" s="1"/>
  <c r="AP4" i="6" s="1"/>
  <c r="AQ4" i="6" s="1"/>
  <c r="AR4" i="6" s="1"/>
  <c r="AS4" i="6" s="1"/>
  <c r="AT4" i="6" s="1"/>
  <c r="AU4" i="6" s="1"/>
  <c r="AV4" i="6" s="1"/>
  <c r="AW4" i="6" s="1"/>
  <c r="AX4" i="6" s="1"/>
  <c r="AY4" i="6" s="1"/>
  <c r="AZ4" i="6" s="1"/>
  <c r="BA4" i="6" s="1"/>
  <c r="BB4" i="6" s="1"/>
  <c r="BC4" i="6" s="1"/>
  <c r="BD4" i="6" s="1"/>
  <c r="BE4" i="6" s="1"/>
  <c r="BF4" i="6" s="1"/>
  <c r="BG4" i="6" s="1"/>
  <c r="BH4" i="6" s="1"/>
  <c r="BI4" i="6" s="1"/>
  <c r="BJ4" i="6" s="1"/>
  <c r="BK4" i="6" s="1"/>
  <c r="BL4" i="6" s="1"/>
  <c r="BM4" i="6" s="1"/>
  <c r="BN4" i="6" s="1"/>
  <c r="BO4" i="6" s="1"/>
  <c r="BP4" i="6" s="1"/>
  <c r="BQ4" i="6" s="1"/>
  <c r="BR4" i="6" s="1"/>
  <c r="BS4" i="6" s="1"/>
  <c r="BT4" i="6" s="1"/>
  <c r="BU4" i="6" s="1"/>
  <c r="BV4" i="6" s="1"/>
  <c r="BW4" i="6" s="1"/>
  <c r="BX4" i="6" s="1"/>
  <c r="BY4" i="6" s="1"/>
  <c r="BZ4" i="6" s="1"/>
  <c r="CA4" i="6" s="1"/>
  <c r="CB4" i="6" s="1"/>
  <c r="CC4" i="6" s="1"/>
  <c r="CD4" i="6" s="1"/>
  <c r="CE4" i="6" s="1"/>
  <c r="CF4" i="6" s="1"/>
  <c r="CG4" i="6" s="1"/>
  <c r="CH4" i="6" s="1"/>
  <c r="CI4" i="6" s="1"/>
  <c r="CJ4" i="6" s="1"/>
  <c r="CK4" i="6" s="1"/>
  <c r="CL4" i="6" s="1"/>
  <c r="CM4" i="6" s="1"/>
  <c r="CN4" i="6" s="1"/>
  <c r="CO4" i="6" s="1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H7" i="5"/>
  <c r="H10" i="5" l="1"/>
  <c r="H14" i="5"/>
  <c r="H9" i="5"/>
  <c r="H13" i="5"/>
  <c r="H12" i="5"/>
  <c r="H16" i="5"/>
  <c r="H18" i="5"/>
  <c r="H23" i="5"/>
  <c r="H17" i="5"/>
  <c r="H22" i="5"/>
  <c r="H15" i="5"/>
  <c r="H21" i="5"/>
  <c r="H11" i="5"/>
  <c r="H19" i="5"/>
  <c r="H20" i="5"/>
  <c r="H24" i="5"/>
  <c r="H25" i="5"/>
  <c r="H26" i="5"/>
  <c r="H8" i="5"/>
  <c r="G57" i="5"/>
  <c r="G68" i="5"/>
  <c r="G53" i="5"/>
  <c r="G50" i="5"/>
  <c r="G69" i="5"/>
  <c r="I7" i="5"/>
  <c r="G71" i="5"/>
  <c r="G75" i="5"/>
  <c r="G74" i="5"/>
  <c r="G73" i="5"/>
  <c r="G29" i="5"/>
  <c r="G72" i="5"/>
  <c r="G28" i="5"/>
  <c r="G32" i="5"/>
  <c r="H27" i="5"/>
  <c r="G31" i="5"/>
  <c r="G30" i="5"/>
  <c r="G33" i="5"/>
  <c r="G37" i="5"/>
  <c r="G41" i="5"/>
  <c r="G45" i="5"/>
  <c r="G49" i="5"/>
  <c r="G36" i="5"/>
  <c r="G40" i="5"/>
  <c r="G44" i="5"/>
  <c r="G48" i="5"/>
  <c r="G35" i="5"/>
  <c r="G39" i="5"/>
  <c r="G43" i="5"/>
  <c r="G47" i="5"/>
  <c r="G51" i="5"/>
  <c r="G46" i="5"/>
  <c r="G52" i="5"/>
  <c r="G56" i="5"/>
  <c r="G60" i="5"/>
  <c r="G64" i="5"/>
  <c r="G42" i="5"/>
  <c r="G55" i="5"/>
  <c r="G59" i="5"/>
  <c r="G63" i="5"/>
  <c r="G67" i="5"/>
  <c r="G38" i="5"/>
  <c r="G54" i="5"/>
  <c r="G58" i="5"/>
  <c r="G62" i="5"/>
  <c r="G66" i="5"/>
  <c r="G70" i="5"/>
  <c r="G61" i="5"/>
  <c r="G65" i="5"/>
  <c r="G34" i="5"/>
  <c r="I11" i="5" l="1"/>
  <c r="I15" i="5"/>
  <c r="I10" i="5"/>
  <c r="I14" i="5"/>
  <c r="I9" i="5"/>
  <c r="I13" i="5"/>
  <c r="I17" i="5"/>
  <c r="I19" i="5"/>
  <c r="I20" i="5"/>
  <c r="I24" i="5"/>
  <c r="I18" i="5"/>
  <c r="I23" i="5"/>
  <c r="I16" i="5"/>
  <c r="I22" i="5"/>
  <c r="I12" i="5"/>
  <c r="I21" i="5"/>
  <c r="I25" i="5"/>
  <c r="I8" i="5"/>
  <c r="I26" i="5"/>
  <c r="J7" i="5"/>
  <c r="H72" i="5"/>
  <c r="H71" i="5"/>
  <c r="H75" i="5"/>
  <c r="H74" i="5"/>
  <c r="H30" i="5"/>
  <c r="H29" i="5"/>
  <c r="H28" i="5"/>
  <c r="H32" i="5"/>
  <c r="H73" i="5"/>
  <c r="H31" i="5"/>
  <c r="H34" i="5"/>
  <c r="H38" i="5"/>
  <c r="H42" i="5"/>
  <c r="H46" i="5"/>
  <c r="H50" i="5"/>
  <c r="I27" i="5"/>
  <c r="H33" i="5"/>
  <c r="H37" i="5"/>
  <c r="H41" i="5"/>
  <c r="H45" i="5"/>
  <c r="H49" i="5"/>
  <c r="H36" i="5"/>
  <c r="H40" i="5"/>
  <c r="H44" i="5"/>
  <c r="H48" i="5"/>
  <c r="H47" i="5"/>
  <c r="H53" i="5"/>
  <c r="H57" i="5"/>
  <c r="H61" i="5"/>
  <c r="H65" i="5"/>
  <c r="H43" i="5"/>
  <c r="H52" i="5"/>
  <c r="H56" i="5"/>
  <c r="H60" i="5"/>
  <c r="H64" i="5"/>
  <c r="H39" i="5"/>
  <c r="H55" i="5"/>
  <c r="H59" i="5"/>
  <c r="H63" i="5"/>
  <c r="H67" i="5"/>
  <c r="H66" i="5"/>
  <c r="H68" i="5"/>
  <c r="H69" i="5"/>
  <c r="H51" i="5"/>
  <c r="H62" i="5"/>
  <c r="H35" i="5"/>
  <c r="H58" i="5"/>
  <c r="H70" i="5"/>
  <c r="H54" i="5"/>
  <c r="J12" i="5" l="1"/>
  <c r="J11" i="5"/>
  <c r="J15" i="5"/>
  <c r="J10" i="5"/>
  <c r="J14" i="5"/>
  <c r="J18" i="5"/>
  <c r="J9" i="5"/>
  <c r="J21" i="5"/>
  <c r="J25" i="5"/>
  <c r="J19" i="5"/>
  <c r="J20" i="5"/>
  <c r="J17" i="5"/>
  <c r="J23" i="5"/>
  <c r="J13" i="5"/>
  <c r="J16" i="5"/>
  <c r="J22" i="5"/>
  <c r="J26" i="5"/>
  <c r="J24" i="5"/>
  <c r="J8" i="5"/>
  <c r="K7" i="5"/>
  <c r="I73" i="5"/>
  <c r="I72" i="5"/>
  <c r="I71" i="5"/>
  <c r="I75" i="5"/>
  <c r="J27" i="5"/>
  <c r="I31" i="5"/>
  <c r="I74" i="5"/>
  <c r="I30" i="5"/>
  <c r="I29" i="5"/>
  <c r="I32" i="5"/>
  <c r="I35" i="5"/>
  <c r="I39" i="5"/>
  <c r="I43" i="5"/>
  <c r="I47" i="5"/>
  <c r="I51" i="5"/>
  <c r="I28" i="5"/>
  <c r="I34" i="5"/>
  <c r="I38" i="5"/>
  <c r="I42" i="5"/>
  <c r="I46" i="5"/>
  <c r="I50" i="5"/>
  <c r="I33" i="5"/>
  <c r="I37" i="5"/>
  <c r="I41" i="5"/>
  <c r="I45" i="5"/>
  <c r="I49" i="5"/>
  <c r="I48" i="5"/>
  <c r="I54" i="5"/>
  <c r="I58" i="5"/>
  <c r="I62" i="5"/>
  <c r="I66" i="5"/>
  <c r="I44" i="5"/>
  <c r="I53" i="5"/>
  <c r="I57" i="5"/>
  <c r="I61" i="5"/>
  <c r="I65" i="5"/>
  <c r="I40" i="5"/>
  <c r="I52" i="5"/>
  <c r="I56" i="5"/>
  <c r="I60" i="5"/>
  <c r="I64" i="5"/>
  <c r="I36" i="5"/>
  <c r="I67" i="5"/>
  <c r="I69" i="5"/>
  <c r="I63" i="5"/>
  <c r="I68" i="5"/>
  <c r="I59" i="5"/>
  <c r="I55" i="5"/>
  <c r="I70" i="5"/>
  <c r="K9" i="5" l="1"/>
  <c r="K13" i="5"/>
  <c r="K12" i="5"/>
  <c r="K11" i="5"/>
  <c r="K15" i="5"/>
  <c r="K19" i="5"/>
  <c r="K10" i="5"/>
  <c r="K16" i="5"/>
  <c r="K22" i="5"/>
  <c r="K21" i="5"/>
  <c r="K18" i="5"/>
  <c r="K20" i="5"/>
  <c r="K14" i="5"/>
  <c r="K17" i="5"/>
  <c r="K23" i="5"/>
  <c r="K25" i="5"/>
  <c r="K26" i="5"/>
  <c r="K24" i="5"/>
  <c r="K8" i="5"/>
  <c r="J74" i="5"/>
  <c r="J73" i="5"/>
  <c r="J72" i="5"/>
  <c r="J71" i="5"/>
  <c r="J28" i="5"/>
  <c r="K27" i="5"/>
  <c r="J31" i="5"/>
  <c r="J30" i="5"/>
  <c r="J36" i="5"/>
  <c r="J40" i="5"/>
  <c r="J44" i="5"/>
  <c r="J48" i="5"/>
  <c r="J75" i="5"/>
  <c r="J29" i="5"/>
  <c r="J32" i="5"/>
  <c r="J35" i="5"/>
  <c r="J39" i="5"/>
  <c r="J43" i="5"/>
  <c r="J47" i="5"/>
  <c r="J51" i="5"/>
  <c r="J34" i="5"/>
  <c r="J38" i="5"/>
  <c r="J42" i="5"/>
  <c r="J46" i="5"/>
  <c r="J50" i="5"/>
  <c r="J33" i="5"/>
  <c r="J49" i="5"/>
  <c r="J55" i="5"/>
  <c r="J59" i="5"/>
  <c r="J63" i="5"/>
  <c r="J67" i="5"/>
  <c r="J45" i="5"/>
  <c r="J54" i="5"/>
  <c r="J58" i="5"/>
  <c r="J62" i="5"/>
  <c r="J66" i="5"/>
  <c r="J41" i="5"/>
  <c r="J53" i="5"/>
  <c r="J57" i="5"/>
  <c r="J61" i="5"/>
  <c r="J65" i="5"/>
  <c r="J52" i="5"/>
  <c r="J70" i="5"/>
  <c r="J64" i="5"/>
  <c r="J69" i="5"/>
  <c r="J37" i="5"/>
  <c r="J60" i="5"/>
  <c r="J68" i="5"/>
  <c r="J56" i="5"/>
  <c r="L7" i="5"/>
  <c r="L10" i="5" l="1"/>
  <c r="L14" i="5"/>
  <c r="L9" i="5"/>
  <c r="L13" i="5"/>
  <c r="L12" i="5"/>
  <c r="L16" i="5"/>
  <c r="L11" i="5"/>
  <c r="L17" i="5"/>
  <c r="L23" i="5"/>
  <c r="L22" i="5"/>
  <c r="L19" i="5"/>
  <c r="L21" i="5"/>
  <c r="L15" i="5"/>
  <c r="L18" i="5"/>
  <c r="L20" i="5"/>
  <c r="L24" i="5"/>
  <c r="L8" i="5"/>
  <c r="L25" i="5"/>
  <c r="L26" i="5"/>
  <c r="M7" i="5"/>
  <c r="K71" i="5"/>
  <c r="K75" i="5"/>
  <c r="K74" i="5"/>
  <c r="K73" i="5"/>
  <c r="K72" i="5"/>
  <c r="K29" i="5"/>
  <c r="K28" i="5"/>
  <c r="L27" i="5"/>
  <c r="K31" i="5"/>
  <c r="K33" i="5"/>
  <c r="K37" i="5"/>
  <c r="K41" i="5"/>
  <c r="K45" i="5"/>
  <c r="K49" i="5"/>
  <c r="K30" i="5"/>
  <c r="K36" i="5"/>
  <c r="K40" i="5"/>
  <c r="K44" i="5"/>
  <c r="K48" i="5"/>
  <c r="K32" i="5"/>
  <c r="K35" i="5"/>
  <c r="K39" i="5"/>
  <c r="K43" i="5"/>
  <c r="K47" i="5"/>
  <c r="K51" i="5"/>
  <c r="K34" i="5"/>
  <c r="K50" i="5"/>
  <c r="K52" i="5"/>
  <c r="K56" i="5"/>
  <c r="K60" i="5"/>
  <c r="K64" i="5"/>
  <c r="K46" i="5"/>
  <c r="K55" i="5"/>
  <c r="K59" i="5"/>
  <c r="K63" i="5"/>
  <c r="K67" i="5"/>
  <c r="K42" i="5"/>
  <c r="K54" i="5"/>
  <c r="K58" i="5"/>
  <c r="K62" i="5"/>
  <c r="K66" i="5"/>
  <c r="K38" i="5"/>
  <c r="K53" i="5"/>
  <c r="K68" i="5"/>
  <c r="K65" i="5"/>
  <c r="K70" i="5"/>
  <c r="K61" i="5"/>
  <c r="K69" i="5"/>
  <c r="K57" i="5"/>
  <c r="M11" i="5" l="1"/>
  <c r="M15" i="5"/>
  <c r="M10" i="5"/>
  <c r="M14" i="5"/>
  <c r="M9" i="5"/>
  <c r="M13" i="5"/>
  <c r="M17" i="5"/>
  <c r="M12" i="5"/>
  <c r="M18" i="5"/>
  <c r="M20" i="5"/>
  <c r="M24" i="5"/>
  <c r="M16" i="5"/>
  <c r="M23" i="5"/>
  <c r="M22" i="5"/>
  <c r="M19" i="5"/>
  <c r="M21" i="5"/>
  <c r="M25" i="5"/>
  <c r="M8" i="5"/>
  <c r="M26" i="5"/>
  <c r="N7" i="5"/>
  <c r="L72" i="5"/>
  <c r="L71" i="5"/>
  <c r="L75" i="5"/>
  <c r="L74" i="5"/>
  <c r="L73" i="5"/>
  <c r="L30" i="5"/>
  <c r="L29" i="5"/>
  <c r="L28" i="5"/>
  <c r="L32" i="5"/>
  <c r="L34" i="5"/>
  <c r="L38" i="5"/>
  <c r="L42" i="5"/>
  <c r="L46" i="5"/>
  <c r="L50" i="5"/>
  <c r="L31" i="5"/>
  <c r="L33" i="5"/>
  <c r="L37" i="5"/>
  <c r="L41" i="5"/>
  <c r="L45" i="5"/>
  <c r="L49" i="5"/>
  <c r="M27" i="5"/>
  <c r="L36" i="5"/>
  <c r="L40" i="5"/>
  <c r="L44" i="5"/>
  <c r="L48" i="5"/>
  <c r="L35" i="5"/>
  <c r="L51" i="5"/>
  <c r="L53" i="5"/>
  <c r="L57" i="5"/>
  <c r="L61" i="5"/>
  <c r="L65" i="5"/>
  <c r="L47" i="5"/>
  <c r="L52" i="5"/>
  <c r="L56" i="5"/>
  <c r="L60" i="5"/>
  <c r="L64" i="5"/>
  <c r="L43" i="5"/>
  <c r="L55" i="5"/>
  <c r="L59" i="5"/>
  <c r="L63" i="5"/>
  <c r="L67" i="5"/>
  <c r="L54" i="5"/>
  <c r="L68" i="5"/>
  <c r="L66" i="5"/>
  <c r="L69" i="5"/>
  <c r="L39" i="5"/>
  <c r="L62" i="5"/>
  <c r="L70" i="5"/>
  <c r="L58" i="5"/>
  <c r="N12" i="5" l="1"/>
  <c r="N11" i="5"/>
  <c r="N15" i="5"/>
  <c r="N10" i="5"/>
  <c r="N14" i="5"/>
  <c r="N18" i="5"/>
  <c r="N13" i="5"/>
  <c r="N19" i="5"/>
  <c r="N21" i="5"/>
  <c r="N25" i="5"/>
  <c r="N9" i="5"/>
  <c r="N17" i="5"/>
  <c r="N20" i="5"/>
  <c r="N16" i="5"/>
  <c r="N23" i="5"/>
  <c r="N22" i="5"/>
  <c r="N26" i="5"/>
  <c r="N24" i="5"/>
  <c r="N8" i="5"/>
  <c r="O7" i="5"/>
  <c r="M73" i="5"/>
  <c r="M72" i="5"/>
  <c r="M71" i="5"/>
  <c r="M75" i="5"/>
  <c r="M74" i="5"/>
  <c r="N27" i="5"/>
  <c r="M31" i="5"/>
  <c r="M30" i="5"/>
  <c r="M29" i="5"/>
  <c r="M35" i="5"/>
  <c r="M39" i="5"/>
  <c r="M43" i="5"/>
  <c r="M47" i="5"/>
  <c r="M34" i="5"/>
  <c r="M38" i="5"/>
  <c r="M42" i="5"/>
  <c r="M46" i="5"/>
  <c r="M50" i="5"/>
  <c r="M28" i="5"/>
  <c r="M33" i="5"/>
  <c r="M37" i="5"/>
  <c r="M41" i="5"/>
  <c r="M45" i="5"/>
  <c r="M49" i="5"/>
  <c r="M36" i="5"/>
  <c r="M54" i="5"/>
  <c r="M58" i="5"/>
  <c r="M62" i="5"/>
  <c r="M66" i="5"/>
  <c r="M32" i="5"/>
  <c r="M48" i="5"/>
  <c r="M51" i="5"/>
  <c r="M53" i="5"/>
  <c r="M57" i="5"/>
  <c r="M61" i="5"/>
  <c r="M65" i="5"/>
  <c r="M44" i="5"/>
  <c r="M52" i="5"/>
  <c r="M56" i="5"/>
  <c r="M60" i="5"/>
  <c r="M64" i="5"/>
  <c r="M40" i="5"/>
  <c r="M55" i="5"/>
  <c r="M69" i="5"/>
  <c r="M67" i="5"/>
  <c r="M68" i="5"/>
  <c r="M70" i="5"/>
  <c r="M63" i="5"/>
  <c r="M59" i="5"/>
  <c r="O9" i="5" l="1"/>
  <c r="O13" i="5"/>
  <c r="O12" i="5"/>
  <c r="O11" i="5"/>
  <c r="O15" i="5"/>
  <c r="O19" i="5"/>
  <c r="O14" i="5"/>
  <c r="O22" i="5"/>
  <c r="O10" i="5"/>
  <c r="O18" i="5"/>
  <c r="O21" i="5"/>
  <c r="O17" i="5"/>
  <c r="O20" i="5"/>
  <c r="O16" i="5"/>
  <c r="O23" i="5"/>
  <c r="O24" i="5"/>
  <c r="O8" i="5"/>
  <c r="O26" i="5"/>
  <c r="O25" i="5"/>
  <c r="P7" i="5"/>
  <c r="N74" i="5"/>
  <c r="N73" i="5"/>
  <c r="N72" i="5"/>
  <c r="N75" i="5"/>
  <c r="N71" i="5"/>
  <c r="N28" i="5"/>
  <c r="O27" i="5"/>
  <c r="N31" i="5"/>
  <c r="N30" i="5"/>
  <c r="N32" i="5"/>
  <c r="N36" i="5"/>
  <c r="N40" i="5"/>
  <c r="N44" i="5"/>
  <c r="N48" i="5"/>
  <c r="N35" i="5"/>
  <c r="N39" i="5"/>
  <c r="N43" i="5"/>
  <c r="N47" i="5"/>
  <c r="N51" i="5"/>
  <c r="N29" i="5"/>
  <c r="N34" i="5"/>
  <c r="N38" i="5"/>
  <c r="N42" i="5"/>
  <c r="N46" i="5"/>
  <c r="N50" i="5"/>
  <c r="N37" i="5"/>
  <c r="N55" i="5"/>
  <c r="N59" i="5"/>
  <c r="N63" i="5"/>
  <c r="N67" i="5"/>
  <c r="N33" i="5"/>
  <c r="N49" i="5"/>
  <c r="N54" i="5"/>
  <c r="N58" i="5"/>
  <c r="N62" i="5"/>
  <c r="N66" i="5"/>
  <c r="N45" i="5"/>
  <c r="N53" i="5"/>
  <c r="N57" i="5"/>
  <c r="N61" i="5"/>
  <c r="N65" i="5"/>
  <c r="N56" i="5"/>
  <c r="N70" i="5"/>
  <c r="N52" i="5"/>
  <c r="N69" i="5"/>
  <c r="N41" i="5"/>
  <c r="N64" i="5"/>
  <c r="N68" i="5"/>
  <c r="N60" i="5"/>
  <c r="P10" i="5" l="1"/>
  <c r="P14" i="5"/>
  <c r="P9" i="5"/>
  <c r="P13" i="5"/>
  <c r="P12" i="5"/>
  <c r="P16" i="5"/>
  <c r="P15" i="5"/>
  <c r="P23" i="5"/>
  <c r="P11" i="5"/>
  <c r="P19" i="5"/>
  <c r="P22" i="5"/>
  <c r="P18" i="5"/>
  <c r="P21" i="5"/>
  <c r="P17" i="5"/>
  <c r="P20" i="5"/>
  <c r="P24" i="5"/>
  <c r="P25" i="5"/>
  <c r="P8" i="5"/>
  <c r="P26" i="5"/>
  <c r="Q7" i="5"/>
  <c r="O71" i="5"/>
  <c r="O75" i="5"/>
  <c r="O74" i="5"/>
  <c r="O73" i="5"/>
  <c r="O72" i="5"/>
  <c r="O29" i="5"/>
  <c r="O28" i="5"/>
  <c r="P27" i="5"/>
  <c r="O31" i="5"/>
  <c r="O33" i="5"/>
  <c r="O37" i="5"/>
  <c r="O41" i="5"/>
  <c r="O45" i="5"/>
  <c r="O49" i="5"/>
  <c r="O32" i="5"/>
  <c r="O36" i="5"/>
  <c r="O40" i="5"/>
  <c r="O44" i="5"/>
  <c r="O48" i="5"/>
  <c r="O30" i="5"/>
  <c r="O35" i="5"/>
  <c r="O39" i="5"/>
  <c r="O43" i="5"/>
  <c r="O47" i="5"/>
  <c r="O51" i="5"/>
  <c r="O38" i="5"/>
  <c r="O52" i="5"/>
  <c r="O56" i="5"/>
  <c r="O60" i="5"/>
  <c r="O64" i="5"/>
  <c r="O34" i="5"/>
  <c r="O50" i="5"/>
  <c r="O55" i="5"/>
  <c r="O59" i="5"/>
  <c r="O63" i="5"/>
  <c r="O67" i="5"/>
  <c r="O46" i="5"/>
  <c r="O54" i="5"/>
  <c r="O58" i="5"/>
  <c r="O62" i="5"/>
  <c r="O66" i="5"/>
  <c r="O42" i="5"/>
  <c r="O57" i="5"/>
  <c r="O53" i="5"/>
  <c r="O70" i="5"/>
  <c r="O68" i="5"/>
  <c r="O65" i="5"/>
  <c r="O69" i="5"/>
  <c r="O61" i="5"/>
  <c r="Q11" i="5" l="1"/>
  <c r="Q10" i="5"/>
  <c r="Q14" i="5"/>
  <c r="Q9" i="5"/>
  <c r="Q13" i="5"/>
  <c r="Q17" i="5"/>
  <c r="Q16" i="5"/>
  <c r="Q20" i="5"/>
  <c r="Q24" i="5"/>
  <c r="Q12" i="5"/>
  <c r="Q15" i="5"/>
  <c r="Q23" i="5"/>
  <c r="Q19" i="5"/>
  <c r="Q22" i="5"/>
  <c r="Q18" i="5"/>
  <c r="Q21" i="5"/>
  <c r="Q25" i="5"/>
  <c r="Q8" i="5"/>
  <c r="Q26" i="5"/>
  <c r="R7" i="5"/>
  <c r="P72" i="5"/>
  <c r="P71" i="5"/>
  <c r="P75" i="5"/>
  <c r="P74" i="5"/>
  <c r="P73" i="5"/>
  <c r="P30" i="5"/>
  <c r="P29" i="5"/>
  <c r="P28" i="5"/>
  <c r="P34" i="5"/>
  <c r="P38" i="5"/>
  <c r="P42" i="5"/>
  <c r="P46" i="5"/>
  <c r="P50" i="5"/>
  <c r="P33" i="5"/>
  <c r="P37" i="5"/>
  <c r="P41" i="5"/>
  <c r="P45" i="5"/>
  <c r="P49" i="5"/>
  <c r="P31" i="5"/>
  <c r="P32" i="5"/>
  <c r="P36" i="5"/>
  <c r="P40" i="5"/>
  <c r="P44" i="5"/>
  <c r="P48" i="5"/>
  <c r="P39" i="5"/>
  <c r="P53" i="5"/>
  <c r="P57" i="5"/>
  <c r="P61" i="5"/>
  <c r="P65" i="5"/>
  <c r="P35" i="5"/>
  <c r="P52" i="5"/>
  <c r="P56" i="5"/>
  <c r="P60" i="5"/>
  <c r="P64" i="5"/>
  <c r="P47" i="5"/>
  <c r="P51" i="5"/>
  <c r="P55" i="5"/>
  <c r="P59" i="5"/>
  <c r="P63" i="5"/>
  <c r="P67" i="5"/>
  <c r="P58" i="5"/>
  <c r="P68" i="5"/>
  <c r="P69" i="5"/>
  <c r="P54" i="5"/>
  <c r="Q27" i="5"/>
  <c r="P43" i="5"/>
  <c r="P66" i="5"/>
  <c r="P70" i="5"/>
  <c r="P62" i="5"/>
  <c r="R12" i="5" l="1"/>
  <c r="R11" i="5"/>
  <c r="R10" i="5"/>
  <c r="R14" i="5"/>
  <c r="R18" i="5"/>
  <c r="R17" i="5"/>
  <c r="R21" i="5"/>
  <c r="R25" i="5"/>
  <c r="R13" i="5"/>
  <c r="R16" i="5"/>
  <c r="R20" i="5"/>
  <c r="R9" i="5"/>
  <c r="R15" i="5"/>
  <c r="R23" i="5"/>
  <c r="R19" i="5"/>
  <c r="R22" i="5"/>
  <c r="R26" i="5"/>
  <c r="R24" i="5"/>
  <c r="R8" i="5"/>
  <c r="S7" i="5"/>
  <c r="Q73" i="5"/>
  <c r="Q72" i="5"/>
  <c r="Q71" i="5"/>
  <c r="Q75" i="5"/>
  <c r="Q74" i="5"/>
  <c r="R27" i="5"/>
  <c r="Q31" i="5"/>
  <c r="Q30" i="5"/>
  <c r="Q29" i="5"/>
  <c r="Q35" i="5"/>
  <c r="Q39" i="5"/>
  <c r="Q43" i="5"/>
  <c r="Q47" i="5"/>
  <c r="Q34" i="5"/>
  <c r="Q38" i="5"/>
  <c r="Q42" i="5"/>
  <c r="Q46" i="5"/>
  <c r="Q50" i="5"/>
  <c r="Q33" i="5"/>
  <c r="Q37" i="5"/>
  <c r="Q41" i="5"/>
  <c r="Q45" i="5"/>
  <c r="Q49" i="5"/>
  <c r="Q40" i="5"/>
  <c r="Q54" i="5"/>
  <c r="Q58" i="5"/>
  <c r="Q62" i="5"/>
  <c r="Q66" i="5"/>
  <c r="Q28" i="5"/>
  <c r="Q36" i="5"/>
  <c r="Q53" i="5"/>
  <c r="Q57" i="5"/>
  <c r="Q61" i="5"/>
  <c r="Q65" i="5"/>
  <c r="Q32" i="5"/>
  <c r="Q48" i="5"/>
  <c r="Q52" i="5"/>
  <c r="Q56" i="5"/>
  <c r="Q60" i="5"/>
  <c r="Q64" i="5"/>
  <c r="Q44" i="5"/>
  <c r="Q59" i="5"/>
  <c r="Q69" i="5"/>
  <c r="Q70" i="5"/>
  <c r="Q55" i="5"/>
  <c r="Q68" i="5"/>
  <c r="Q51" i="5"/>
  <c r="Q67" i="5"/>
  <c r="Q63" i="5"/>
  <c r="S9" i="5" l="1"/>
  <c r="S13" i="5"/>
  <c r="S12" i="5"/>
  <c r="S11" i="5"/>
  <c r="S15" i="5"/>
  <c r="S19" i="5"/>
  <c r="S18" i="5"/>
  <c r="S22" i="5"/>
  <c r="S14" i="5"/>
  <c r="S17" i="5"/>
  <c r="S21" i="5"/>
  <c r="S10" i="5"/>
  <c r="S16" i="5"/>
  <c r="S20" i="5"/>
  <c r="S23" i="5"/>
  <c r="S8" i="5"/>
  <c r="S25" i="5"/>
  <c r="S26" i="5"/>
  <c r="S24" i="5"/>
  <c r="T7" i="5"/>
  <c r="R74" i="5"/>
  <c r="R73" i="5"/>
  <c r="R72" i="5"/>
  <c r="R75" i="5"/>
  <c r="R71" i="5"/>
  <c r="R28" i="5"/>
  <c r="S27" i="5"/>
  <c r="R31" i="5"/>
  <c r="R30" i="5"/>
  <c r="R32" i="5"/>
  <c r="R36" i="5"/>
  <c r="R40" i="5"/>
  <c r="R44" i="5"/>
  <c r="R48" i="5"/>
  <c r="R35" i="5"/>
  <c r="R39" i="5"/>
  <c r="R43" i="5"/>
  <c r="R47" i="5"/>
  <c r="R34" i="5"/>
  <c r="R38" i="5"/>
  <c r="R42" i="5"/>
  <c r="R46" i="5"/>
  <c r="R50" i="5"/>
  <c r="R41" i="5"/>
  <c r="R51" i="5"/>
  <c r="R55" i="5"/>
  <c r="R59" i="5"/>
  <c r="R63" i="5"/>
  <c r="R67" i="5"/>
  <c r="R37" i="5"/>
  <c r="R54" i="5"/>
  <c r="R58" i="5"/>
  <c r="R62" i="5"/>
  <c r="R66" i="5"/>
  <c r="R33" i="5"/>
  <c r="R49" i="5"/>
  <c r="R53" i="5"/>
  <c r="R57" i="5"/>
  <c r="R61" i="5"/>
  <c r="R65" i="5"/>
  <c r="R60" i="5"/>
  <c r="R70" i="5"/>
  <c r="R56" i="5"/>
  <c r="R69" i="5"/>
  <c r="R45" i="5"/>
  <c r="R52" i="5"/>
  <c r="R68" i="5"/>
  <c r="R29" i="5"/>
  <c r="R64" i="5"/>
  <c r="T10" i="5" l="1"/>
  <c r="T14" i="5"/>
  <c r="T9" i="5"/>
  <c r="T13" i="5"/>
  <c r="T12" i="5"/>
  <c r="T16" i="5"/>
  <c r="T19" i="5"/>
  <c r="T23" i="5"/>
  <c r="T18" i="5"/>
  <c r="T22" i="5"/>
  <c r="T11" i="5"/>
  <c r="T17" i="5"/>
  <c r="T21" i="5"/>
  <c r="T15" i="5"/>
  <c r="T20" i="5"/>
  <c r="T24" i="5"/>
  <c r="T8" i="5"/>
  <c r="T25" i="5"/>
  <c r="T26" i="5"/>
  <c r="U7" i="5"/>
  <c r="S71" i="5"/>
  <c r="S75" i="5"/>
  <c r="S74" i="5"/>
  <c r="S73" i="5"/>
  <c r="S72" i="5"/>
  <c r="S29" i="5"/>
  <c r="S28" i="5"/>
  <c r="T27" i="5"/>
  <c r="S31" i="5"/>
  <c r="S33" i="5"/>
  <c r="S37" i="5"/>
  <c r="S41" i="5"/>
  <c r="S45" i="5"/>
  <c r="S49" i="5"/>
  <c r="S32" i="5"/>
  <c r="S36" i="5"/>
  <c r="S40" i="5"/>
  <c r="S44" i="5"/>
  <c r="S48" i="5"/>
  <c r="S35" i="5"/>
  <c r="S39" i="5"/>
  <c r="S43" i="5"/>
  <c r="S47" i="5"/>
  <c r="S42" i="5"/>
  <c r="S52" i="5"/>
  <c r="S56" i="5"/>
  <c r="S60" i="5"/>
  <c r="S64" i="5"/>
  <c r="S30" i="5"/>
  <c r="S38" i="5"/>
  <c r="S51" i="5"/>
  <c r="S55" i="5"/>
  <c r="S59" i="5"/>
  <c r="S63" i="5"/>
  <c r="S67" i="5"/>
  <c r="S34" i="5"/>
  <c r="S50" i="5"/>
  <c r="S54" i="5"/>
  <c r="S58" i="5"/>
  <c r="S62" i="5"/>
  <c r="S66" i="5"/>
  <c r="S46" i="5"/>
  <c r="S61" i="5"/>
  <c r="S68" i="5"/>
  <c r="S57" i="5"/>
  <c r="S70" i="5"/>
  <c r="S53" i="5"/>
  <c r="S69" i="5"/>
  <c r="S65" i="5"/>
  <c r="U11" i="5" l="1"/>
  <c r="U10" i="5"/>
  <c r="U14" i="5"/>
  <c r="U9" i="5"/>
  <c r="U13" i="5"/>
  <c r="U17" i="5"/>
  <c r="U15" i="5"/>
  <c r="U20" i="5"/>
  <c r="U24" i="5"/>
  <c r="U19" i="5"/>
  <c r="U23" i="5"/>
  <c r="U12" i="5"/>
  <c r="U18" i="5"/>
  <c r="U22" i="5"/>
  <c r="U16" i="5"/>
  <c r="U21" i="5"/>
  <c r="U25" i="5"/>
  <c r="U8" i="5"/>
  <c r="U26" i="5"/>
  <c r="V7" i="5"/>
  <c r="T72" i="5"/>
  <c r="T71" i="5"/>
  <c r="T75" i="5"/>
  <c r="T74" i="5"/>
  <c r="T73" i="5"/>
  <c r="T30" i="5"/>
  <c r="T29" i="5"/>
  <c r="T28" i="5"/>
  <c r="U27" i="5"/>
  <c r="T34" i="5"/>
  <c r="T38" i="5"/>
  <c r="T42" i="5"/>
  <c r="T46" i="5"/>
  <c r="T50" i="5"/>
  <c r="T33" i="5"/>
  <c r="T37" i="5"/>
  <c r="T41" i="5"/>
  <c r="T45" i="5"/>
  <c r="T49" i="5"/>
  <c r="T32" i="5"/>
  <c r="T36" i="5"/>
  <c r="T40" i="5"/>
  <c r="T44" i="5"/>
  <c r="T48" i="5"/>
  <c r="T43" i="5"/>
  <c r="T53" i="5"/>
  <c r="T57" i="5"/>
  <c r="T61" i="5"/>
  <c r="T65" i="5"/>
  <c r="T39" i="5"/>
  <c r="T52" i="5"/>
  <c r="T56" i="5"/>
  <c r="T60" i="5"/>
  <c r="T64" i="5"/>
  <c r="T35" i="5"/>
  <c r="T51" i="5"/>
  <c r="T55" i="5"/>
  <c r="T59" i="5"/>
  <c r="T63" i="5"/>
  <c r="T67" i="5"/>
  <c r="T31" i="5"/>
  <c r="T62" i="5"/>
  <c r="T68" i="5"/>
  <c r="T58" i="5"/>
  <c r="T69" i="5"/>
  <c r="T47" i="5"/>
  <c r="T54" i="5"/>
  <c r="T70" i="5"/>
  <c r="T66" i="5"/>
  <c r="V12" i="5" l="1"/>
  <c r="V11" i="5"/>
  <c r="V10" i="5"/>
  <c r="V14" i="5"/>
  <c r="V18" i="5"/>
  <c r="V16" i="5"/>
  <c r="V21" i="5"/>
  <c r="V25" i="5"/>
  <c r="V15" i="5"/>
  <c r="V20" i="5"/>
  <c r="V13" i="5"/>
  <c r="V19" i="5"/>
  <c r="V23" i="5"/>
  <c r="V9" i="5"/>
  <c r="V17" i="5"/>
  <c r="V22" i="5"/>
  <c r="V26" i="5"/>
  <c r="V24" i="5"/>
  <c r="V8" i="5"/>
  <c r="W7" i="5"/>
  <c r="U73" i="5"/>
  <c r="U72" i="5"/>
  <c r="U71" i="5"/>
  <c r="U75" i="5"/>
  <c r="U74" i="5"/>
  <c r="V27" i="5"/>
  <c r="U31" i="5"/>
  <c r="U30" i="5"/>
  <c r="U29" i="5"/>
  <c r="U28" i="5"/>
  <c r="U35" i="5"/>
  <c r="U39" i="5"/>
  <c r="U43" i="5"/>
  <c r="U47" i="5"/>
  <c r="U34" i="5"/>
  <c r="U38" i="5"/>
  <c r="U42" i="5"/>
  <c r="U46" i="5"/>
  <c r="U50" i="5"/>
  <c r="U33" i="5"/>
  <c r="U37" i="5"/>
  <c r="U41" i="5"/>
  <c r="U45" i="5"/>
  <c r="U49" i="5"/>
  <c r="U44" i="5"/>
  <c r="U54" i="5"/>
  <c r="U58" i="5"/>
  <c r="U62" i="5"/>
  <c r="U66" i="5"/>
  <c r="U40" i="5"/>
  <c r="U53" i="5"/>
  <c r="U57" i="5"/>
  <c r="U61" i="5"/>
  <c r="U65" i="5"/>
  <c r="U36" i="5"/>
  <c r="U52" i="5"/>
  <c r="U56" i="5"/>
  <c r="U60" i="5"/>
  <c r="U64" i="5"/>
  <c r="U48" i="5"/>
  <c r="U63" i="5"/>
  <c r="U69" i="5"/>
  <c r="U32" i="5"/>
  <c r="U59" i="5"/>
  <c r="U68" i="5"/>
  <c r="U55" i="5"/>
  <c r="U51" i="5"/>
  <c r="U67" i="5"/>
  <c r="U70" i="5"/>
  <c r="W9" i="5" l="1"/>
  <c r="W13" i="5"/>
  <c r="W12" i="5"/>
  <c r="W11" i="5"/>
  <c r="W15" i="5"/>
  <c r="W19" i="5"/>
  <c r="W17" i="5"/>
  <c r="W22" i="5"/>
  <c r="W16" i="5"/>
  <c r="W21" i="5"/>
  <c r="W14" i="5"/>
  <c r="W20" i="5"/>
  <c r="W10" i="5"/>
  <c r="W18" i="5"/>
  <c r="W23" i="5"/>
  <c r="W24" i="5"/>
  <c r="W8" i="5"/>
  <c r="W26" i="5"/>
  <c r="W25" i="5"/>
  <c r="X7" i="5"/>
  <c r="V74" i="5"/>
  <c r="V73" i="5"/>
  <c r="V72" i="5"/>
  <c r="V75" i="5"/>
  <c r="V71" i="5"/>
  <c r="V28" i="5"/>
  <c r="W27" i="5"/>
  <c r="V31" i="5"/>
  <c r="V30" i="5"/>
  <c r="V29" i="5"/>
  <c r="V32" i="5"/>
  <c r="V36" i="5"/>
  <c r="V40" i="5"/>
  <c r="V44" i="5"/>
  <c r="V48" i="5"/>
  <c r="V35" i="5"/>
  <c r="V39" i="5"/>
  <c r="V43" i="5"/>
  <c r="V47" i="5"/>
  <c r="V34" i="5"/>
  <c r="V38" i="5"/>
  <c r="V42" i="5"/>
  <c r="V46" i="5"/>
  <c r="V50" i="5"/>
  <c r="V45" i="5"/>
  <c r="V51" i="5"/>
  <c r="V55" i="5"/>
  <c r="V59" i="5"/>
  <c r="V63" i="5"/>
  <c r="V67" i="5"/>
  <c r="V41" i="5"/>
  <c r="V54" i="5"/>
  <c r="V58" i="5"/>
  <c r="V62" i="5"/>
  <c r="V66" i="5"/>
  <c r="V37" i="5"/>
  <c r="V53" i="5"/>
  <c r="V57" i="5"/>
  <c r="V61" i="5"/>
  <c r="V65" i="5"/>
  <c r="V64" i="5"/>
  <c r="V70" i="5"/>
  <c r="V33" i="5"/>
  <c r="V60" i="5"/>
  <c r="V69" i="5"/>
  <c r="V49" i="5"/>
  <c r="V56" i="5"/>
  <c r="V68" i="5"/>
  <c r="V52" i="5"/>
  <c r="X10" i="5" l="1"/>
  <c r="X14" i="5"/>
  <c r="X9" i="5"/>
  <c r="X13" i="5"/>
  <c r="X12" i="5"/>
  <c r="X16" i="5"/>
  <c r="X18" i="5"/>
  <c r="X23" i="5"/>
  <c r="X17" i="5"/>
  <c r="X22" i="5"/>
  <c r="X15" i="5"/>
  <c r="X21" i="5"/>
  <c r="X11" i="5"/>
  <c r="X19" i="5"/>
  <c r="X20" i="5"/>
  <c r="X24" i="5"/>
  <c r="X25" i="5"/>
  <c r="X8" i="5"/>
  <c r="X26" i="5"/>
  <c r="Y7" i="5"/>
  <c r="W71" i="5"/>
  <c r="W75" i="5"/>
  <c r="W74" i="5"/>
  <c r="W73" i="5"/>
  <c r="W29" i="5"/>
  <c r="W28" i="5"/>
  <c r="W72" i="5"/>
  <c r="X27" i="5"/>
  <c r="W31" i="5"/>
  <c r="W30" i="5"/>
  <c r="W33" i="5"/>
  <c r="W37" i="5"/>
  <c r="W41" i="5"/>
  <c r="W45" i="5"/>
  <c r="W49" i="5"/>
  <c r="W32" i="5"/>
  <c r="W36" i="5"/>
  <c r="W40" i="5"/>
  <c r="W44" i="5"/>
  <c r="W48" i="5"/>
  <c r="W35" i="5"/>
  <c r="W39" i="5"/>
  <c r="W43" i="5"/>
  <c r="W47" i="5"/>
  <c r="W46" i="5"/>
  <c r="W52" i="5"/>
  <c r="W56" i="5"/>
  <c r="W60" i="5"/>
  <c r="W64" i="5"/>
  <c r="W42" i="5"/>
  <c r="W51" i="5"/>
  <c r="W55" i="5"/>
  <c r="W59" i="5"/>
  <c r="W63" i="5"/>
  <c r="W67" i="5"/>
  <c r="W38" i="5"/>
  <c r="W54" i="5"/>
  <c r="W58" i="5"/>
  <c r="W62" i="5"/>
  <c r="W66" i="5"/>
  <c r="W50" i="5"/>
  <c r="W65" i="5"/>
  <c r="W34" i="5"/>
  <c r="W61" i="5"/>
  <c r="W70" i="5"/>
  <c r="W68" i="5"/>
  <c r="W57" i="5"/>
  <c r="W69" i="5"/>
  <c r="W53" i="5"/>
  <c r="Y11" i="5" l="1"/>
  <c r="Y10" i="5"/>
  <c r="Y14" i="5"/>
  <c r="Y9" i="5"/>
  <c r="Y13" i="5"/>
  <c r="Y17" i="5"/>
  <c r="Y19" i="5"/>
  <c r="Y20" i="5"/>
  <c r="Y24" i="5"/>
  <c r="Y18" i="5"/>
  <c r="Y23" i="5"/>
  <c r="Y16" i="5"/>
  <c r="Y22" i="5"/>
  <c r="Y12" i="5"/>
  <c r="Y15" i="5"/>
  <c r="Y21" i="5"/>
  <c r="Y25" i="5"/>
  <c r="Y8" i="5"/>
  <c r="Y26" i="5"/>
  <c r="Z7" i="5"/>
  <c r="X72" i="5"/>
  <c r="X71" i="5"/>
  <c r="X75" i="5"/>
  <c r="X74" i="5"/>
  <c r="X73" i="5"/>
  <c r="X30" i="5"/>
  <c r="X29" i="5"/>
  <c r="X28" i="5"/>
  <c r="X31" i="5"/>
  <c r="X34" i="5"/>
  <c r="X38" i="5"/>
  <c r="X42" i="5"/>
  <c r="X46" i="5"/>
  <c r="X50" i="5"/>
  <c r="Y27" i="5"/>
  <c r="X33" i="5"/>
  <c r="X37" i="5"/>
  <c r="X41" i="5"/>
  <c r="X45" i="5"/>
  <c r="X49" i="5"/>
  <c r="X32" i="5"/>
  <c r="X36" i="5"/>
  <c r="X40" i="5"/>
  <c r="X44" i="5"/>
  <c r="X48" i="5"/>
  <c r="X47" i="5"/>
  <c r="X53" i="5"/>
  <c r="X57" i="5"/>
  <c r="X61" i="5"/>
  <c r="X65" i="5"/>
  <c r="X43" i="5"/>
  <c r="X52" i="5"/>
  <c r="X56" i="5"/>
  <c r="X60" i="5"/>
  <c r="X64" i="5"/>
  <c r="X39" i="5"/>
  <c r="X51" i="5"/>
  <c r="X55" i="5"/>
  <c r="X59" i="5"/>
  <c r="X63" i="5"/>
  <c r="X67" i="5"/>
  <c r="X66" i="5"/>
  <c r="X68" i="5"/>
  <c r="X69" i="5"/>
  <c r="X62" i="5"/>
  <c r="X35" i="5"/>
  <c r="X58" i="5"/>
  <c r="X70" i="5"/>
  <c r="X54" i="5"/>
  <c r="Z12" i="5" l="1"/>
  <c r="Z11" i="5"/>
  <c r="Z10" i="5"/>
  <c r="Z14" i="5"/>
  <c r="Z18" i="5"/>
  <c r="Z9" i="5"/>
  <c r="Z15" i="5"/>
  <c r="Z21" i="5"/>
  <c r="Z25" i="5"/>
  <c r="Z19" i="5"/>
  <c r="Z20" i="5"/>
  <c r="Z17" i="5"/>
  <c r="Z23" i="5"/>
  <c r="Z13" i="5"/>
  <c r="Z16" i="5"/>
  <c r="Z22" i="5"/>
  <c r="Z26" i="5"/>
  <c r="Z24" i="5"/>
  <c r="Z8" i="5"/>
  <c r="AA7" i="5"/>
  <c r="Y73" i="5"/>
  <c r="Y72" i="5"/>
  <c r="Y71" i="5"/>
  <c r="Y75" i="5"/>
  <c r="Z27" i="5"/>
  <c r="Y31" i="5"/>
  <c r="Y30" i="5"/>
  <c r="Y74" i="5"/>
  <c r="Y29" i="5"/>
  <c r="Y35" i="5"/>
  <c r="Y39" i="5"/>
  <c r="Y43" i="5"/>
  <c r="Y47" i="5"/>
  <c r="Y28" i="5"/>
  <c r="Y34" i="5"/>
  <c r="Y38" i="5"/>
  <c r="Y42" i="5"/>
  <c r="Y46" i="5"/>
  <c r="Y50" i="5"/>
  <c r="Y33" i="5"/>
  <c r="Y37" i="5"/>
  <c r="Y41" i="5"/>
  <c r="Y45" i="5"/>
  <c r="Y49" i="5"/>
  <c r="Y32" i="5"/>
  <c r="Y48" i="5"/>
  <c r="Y54" i="5"/>
  <c r="Y58" i="5"/>
  <c r="Y62" i="5"/>
  <c r="Y66" i="5"/>
  <c r="Y44" i="5"/>
  <c r="Y53" i="5"/>
  <c r="Y57" i="5"/>
  <c r="Y61" i="5"/>
  <c r="Y65" i="5"/>
  <c r="Y40" i="5"/>
  <c r="Y52" i="5"/>
  <c r="Y56" i="5"/>
  <c r="Y60" i="5"/>
  <c r="Y64" i="5"/>
  <c r="Y51" i="5"/>
  <c r="Y67" i="5"/>
  <c r="Y69" i="5"/>
  <c r="Y36" i="5"/>
  <c r="Y63" i="5"/>
  <c r="Y68" i="5"/>
  <c r="Y70" i="5"/>
  <c r="Y59" i="5"/>
  <c r="Y55" i="5"/>
  <c r="AA9" i="5" l="1"/>
  <c r="AA13" i="5"/>
  <c r="AA12" i="5"/>
  <c r="AA11" i="5"/>
  <c r="AA15" i="5"/>
  <c r="AA19" i="5"/>
  <c r="AA10" i="5"/>
  <c r="AA16" i="5"/>
  <c r="AA22" i="5"/>
  <c r="AA21" i="5"/>
  <c r="AA18" i="5"/>
  <c r="AA20" i="5"/>
  <c r="AA14" i="5"/>
  <c r="AA17" i="5"/>
  <c r="AA23" i="5"/>
  <c r="AA8" i="5"/>
  <c r="AA25" i="5"/>
  <c r="AA26" i="5"/>
  <c r="AA24" i="5"/>
  <c r="AB7" i="5"/>
  <c r="Z74" i="5"/>
  <c r="Z73" i="5"/>
  <c r="Z72" i="5"/>
  <c r="Z71" i="5"/>
  <c r="Z75" i="5"/>
  <c r="Z28" i="5"/>
  <c r="AA27" i="5"/>
  <c r="Z31" i="5"/>
  <c r="Z30" i="5"/>
  <c r="Z32" i="5"/>
  <c r="Z36" i="5"/>
  <c r="Z40" i="5"/>
  <c r="Z44" i="5"/>
  <c r="Z48" i="5"/>
  <c r="Z29" i="5"/>
  <c r="Z35" i="5"/>
  <c r="Z39" i="5"/>
  <c r="Z43" i="5"/>
  <c r="Z47" i="5"/>
  <c r="Z34" i="5"/>
  <c r="Z38" i="5"/>
  <c r="Z42" i="5"/>
  <c r="Z46" i="5"/>
  <c r="Z50" i="5"/>
  <c r="Z33" i="5"/>
  <c r="Z49" i="5"/>
  <c r="Z51" i="5"/>
  <c r="Z55" i="5"/>
  <c r="Z59" i="5"/>
  <c r="Z63" i="5"/>
  <c r="Z67" i="5"/>
  <c r="Z45" i="5"/>
  <c r="Z54" i="5"/>
  <c r="Z58" i="5"/>
  <c r="Z62" i="5"/>
  <c r="Z66" i="5"/>
  <c r="Z41" i="5"/>
  <c r="Z53" i="5"/>
  <c r="Z57" i="5"/>
  <c r="Z61" i="5"/>
  <c r="Z65" i="5"/>
  <c r="Z52" i="5"/>
  <c r="Z70" i="5"/>
  <c r="Z64" i="5"/>
  <c r="Z69" i="5"/>
  <c r="Z60" i="5"/>
  <c r="Z68" i="5"/>
  <c r="Z37" i="5"/>
  <c r="Z56" i="5"/>
  <c r="AB10" i="5" l="1"/>
  <c r="AB14" i="5"/>
  <c r="AB9" i="5"/>
  <c r="AB13" i="5"/>
  <c r="AB12" i="5"/>
  <c r="AB16" i="5"/>
  <c r="AB11" i="5"/>
  <c r="AB17" i="5"/>
  <c r="AB23" i="5"/>
  <c r="AB15" i="5"/>
  <c r="AB22" i="5"/>
  <c r="AB19" i="5"/>
  <c r="AB21" i="5"/>
  <c r="AB18" i="5"/>
  <c r="AB20" i="5"/>
  <c r="AB24" i="5"/>
  <c r="AB8" i="5"/>
  <c r="AB25" i="5"/>
  <c r="AB26" i="5"/>
  <c r="AC7" i="5"/>
  <c r="AA71" i="5"/>
  <c r="AA75" i="5"/>
  <c r="AA74" i="5"/>
  <c r="AA73" i="5"/>
  <c r="AA72" i="5"/>
  <c r="AA29" i="5"/>
  <c r="AA28" i="5"/>
  <c r="AB27" i="5"/>
  <c r="AA31" i="5"/>
  <c r="AA33" i="5"/>
  <c r="AA37" i="5"/>
  <c r="AA41" i="5"/>
  <c r="AA45" i="5"/>
  <c r="AA49" i="5"/>
  <c r="AA30" i="5"/>
  <c r="AA32" i="5"/>
  <c r="AA36" i="5"/>
  <c r="AA40" i="5"/>
  <c r="AA44" i="5"/>
  <c r="AA48" i="5"/>
  <c r="AA35" i="5"/>
  <c r="AA39" i="5"/>
  <c r="AA43" i="5"/>
  <c r="AA47" i="5"/>
  <c r="AA34" i="5"/>
  <c r="AA50" i="5"/>
  <c r="AA52" i="5"/>
  <c r="AA56" i="5"/>
  <c r="AA60" i="5"/>
  <c r="AA64" i="5"/>
  <c r="AA46" i="5"/>
  <c r="AA51" i="5"/>
  <c r="AA55" i="5"/>
  <c r="AA59" i="5"/>
  <c r="AA63" i="5"/>
  <c r="AA67" i="5"/>
  <c r="AA42" i="5"/>
  <c r="AA54" i="5"/>
  <c r="AA58" i="5"/>
  <c r="AA62" i="5"/>
  <c r="AA66" i="5"/>
  <c r="AA53" i="5"/>
  <c r="AA38" i="5"/>
  <c r="AA65" i="5"/>
  <c r="AA70" i="5"/>
  <c r="AA68" i="5"/>
  <c r="AA61" i="5"/>
  <c r="AA69" i="5"/>
  <c r="AA57" i="5"/>
  <c r="AC11" i="5" l="1"/>
  <c r="AC10" i="5"/>
  <c r="AC14" i="5"/>
  <c r="AC9" i="5"/>
  <c r="AC13" i="5"/>
  <c r="AC17" i="5"/>
  <c r="AC12" i="5"/>
  <c r="AC18" i="5"/>
  <c r="AC20" i="5"/>
  <c r="AC24" i="5"/>
  <c r="AC16" i="5"/>
  <c r="AC23" i="5"/>
  <c r="AC15" i="5"/>
  <c r="AC22" i="5"/>
  <c r="AC19" i="5"/>
  <c r="AC21" i="5"/>
  <c r="AC25" i="5"/>
  <c r="AC8" i="5"/>
  <c r="AC26" i="5"/>
  <c r="AD7" i="5"/>
  <c r="AB72" i="5"/>
  <c r="AB71" i="5"/>
  <c r="AB75" i="5"/>
  <c r="AB74" i="5"/>
  <c r="AB73" i="5"/>
  <c r="AB30" i="5"/>
  <c r="AB29" i="5"/>
  <c r="AB28" i="5"/>
  <c r="AB34" i="5"/>
  <c r="AB38" i="5"/>
  <c r="AB42" i="5"/>
  <c r="AB46" i="5"/>
  <c r="AB50" i="5"/>
  <c r="AB31" i="5"/>
  <c r="AB33" i="5"/>
  <c r="AB37" i="5"/>
  <c r="AB41" i="5"/>
  <c r="AB45" i="5"/>
  <c r="AB49" i="5"/>
  <c r="AC27" i="5"/>
  <c r="AB32" i="5"/>
  <c r="AB36" i="5"/>
  <c r="AB40" i="5"/>
  <c r="AB44" i="5"/>
  <c r="AB48" i="5"/>
  <c r="AB35" i="5"/>
  <c r="AB53" i="5"/>
  <c r="AB57" i="5"/>
  <c r="AB61" i="5"/>
  <c r="AB65" i="5"/>
  <c r="AB47" i="5"/>
  <c r="AB52" i="5"/>
  <c r="AB56" i="5"/>
  <c r="AB60" i="5"/>
  <c r="AB64" i="5"/>
  <c r="AB43" i="5"/>
  <c r="AB51" i="5"/>
  <c r="AB55" i="5"/>
  <c r="AB59" i="5"/>
  <c r="AB63" i="5"/>
  <c r="AB54" i="5"/>
  <c r="AB68" i="5"/>
  <c r="AB66" i="5"/>
  <c r="AB67" i="5"/>
  <c r="AB39" i="5"/>
  <c r="AB62" i="5"/>
  <c r="AB70" i="5"/>
  <c r="AB58" i="5"/>
  <c r="AB69" i="5"/>
  <c r="AD12" i="5" l="1"/>
  <c r="AD11" i="5"/>
  <c r="AD10" i="5"/>
  <c r="AD14" i="5"/>
  <c r="AD18" i="5"/>
  <c r="AD13" i="5"/>
  <c r="AD19" i="5"/>
  <c r="AD21" i="5"/>
  <c r="AD25" i="5"/>
  <c r="AD9" i="5"/>
  <c r="AD17" i="5"/>
  <c r="AD20" i="5"/>
  <c r="AD16" i="5"/>
  <c r="AD23" i="5"/>
  <c r="AD15" i="5"/>
  <c r="AD22" i="5"/>
  <c r="AD26" i="5"/>
  <c r="AD8" i="5"/>
  <c r="AD24" i="5"/>
  <c r="AE7" i="5"/>
  <c r="AC73" i="5"/>
  <c r="AC72" i="5"/>
  <c r="AC71" i="5"/>
  <c r="AC75" i="5"/>
  <c r="AC74" i="5"/>
  <c r="AD27" i="5"/>
  <c r="AC31" i="5"/>
  <c r="AC30" i="5"/>
  <c r="AC29" i="5"/>
  <c r="AC35" i="5"/>
  <c r="AC39" i="5"/>
  <c r="AC43" i="5"/>
  <c r="AC47" i="5"/>
  <c r="AC34" i="5"/>
  <c r="AC38" i="5"/>
  <c r="AC42" i="5"/>
  <c r="AC46" i="5"/>
  <c r="AC50" i="5"/>
  <c r="AC28" i="5"/>
  <c r="AC33" i="5"/>
  <c r="AC37" i="5"/>
  <c r="AC41" i="5"/>
  <c r="AC45" i="5"/>
  <c r="AC49" i="5"/>
  <c r="AC36" i="5"/>
  <c r="AC54" i="5"/>
  <c r="AC58" i="5"/>
  <c r="AC62" i="5"/>
  <c r="AC66" i="5"/>
  <c r="AC32" i="5"/>
  <c r="AC48" i="5"/>
  <c r="AC53" i="5"/>
  <c r="AC57" i="5"/>
  <c r="AC61" i="5"/>
  <c r="AC65" i="5"/>
  <c r="AC44" i="5"/>
  <c r="AC52" i="5"/>
  <c r="AC56" i="5"/>
  <c r="AC60" i="5"/>
  <c r="AC64" i="5"/>
  <c r="AC55" i="5"/>
  <c r="AC69" i="5"/>
  <c r="AC70" i="5"/>
  <c r="AC40" i="5"/>
  <c r="AC51" i="5"/>
  <c r="AC68" i="5"/>
  <c r="AC63" i="5"/>
  <c r="AC67" i="5"/>
  <c r="AC59" i="5"/>
  <c r="AE9" i="5" l="1"/>
  <c r="AE13" i="5"/>
  <c r="AE12" i="5"/>
  <c r="AE11" i="5"/>
  <c r="AE15" i="5"/>
  <c r="AE19" i="5"/>
  <c r="AE14" i="5"/>
  <c r="AE22" i="5"/>
  <c r="AE10" i="5"/>
  <c r="AE18" i="5"/>
  <c r="AE21" i="5"/>
  <c r="AE17" i="5"/>
  <c r="AE20" i="5"/>
  <c r="AE16" i="5"/>
  <c r="AE23" i="5"/>
  <c r="AE24" i="5"/>
  <c r="AE8" i="5"/>
  <c r="AE26" i="5"/>
  <c r="AE25" i="5"/>
  <c r="AF7" i="5"/>
  <c r="AD74" i="5"/>
  <c r="AD73" i="5"/>
  <c r="AD72" i="5"/>
  <c r="AD75" i="5"/>
  <c r="AD71" i="5"/>
  <c r="AD28" i="5"/>
  <c r="AE27" i="5"/>
  <c r="AD31" i="5"/>
  <c r="AD30" i="5"/>
  <c r="AD32" i="5"/>
  <c r="AD36" i="5"/>
  <c r="AD40" i="5"/>
  <c r="AD44" i="5"/>
  <c r="AD48" i="5"/>
  <c r="AD35" i="5"/>
  <c r="AD39" i="5"/>
  <c r="AD43" i="5"/>
  <c r="AD47" i="5"/>
  <c r="AD29" i="5"/>
  <c r="AD34" i="5"/>
  <c r="AD38" i="5"/>
  <c r="AD42" i="5"/>
  <c r="AD46" i="5"/>
  <c r="AD50" i="5"/>
  <c r="AD37" i="5"/>
  <c r="AD51" i="5"/>
  <c r="AD55" i="5"/>
  <c r="AD59" i="5"/>
  <c r="AD63" i="5"/>
  <c r="AD33" i="5"/>
  <c r="AD49" i="5"/>
  <c r="AD54" i="5"/>
  <c r="AD58" i="5"/>
  <c r="AD62" i="5"/>
  <c r="AD66" i="5"/>
  <c r="AD45" i="5"/>
  <c r="AD53" i="5"/>
  <c r="AD57" i="5"/>
  <c r="AD61" i="5"/>
  <c r="AD65" i="5"/>
  <c r="AD56" i="5"/>
  <c r="AD70" i="5"/>
  <c r="AD52" i="5"/>
  <c r="AD69" i="5"/>
  <c r="AD64" i="5"/>
  <c r="AD68" i="5"/>
  <c r="AD41" i="5"/>
  <c r="AD60" i="5"/>
  <c r="AD67" i="5"/>
  <c r="AF10" i="5" l="1"/>
  <c r="AF14" i="5"/>
  <c r="AF9" i="5"/>
  <c r="AF13" i="5"/>
  <c r="AF12" i="5"/>
  <c r="AF16" i="5"/>
  <c r="AF15" i="5"/>
  <c r="AF23" i="5"/>
  <c r="AF11" i="5"/>
  <c r="AF19" i="5"/>
  <c r="AF22" i="5"/>
  <c r="AF18" i="5"/>
  <c r="AF21" i="5"/>
  <c r="AF17" i="5"/>
  <c r="AF20" i="5"/>
  <c r="AF24" i="5"/>
  <c r="AF25" i="5"/>
  <c r="AF8" i="5"/>
  <c r="AF26" i="5"/>
  <c r="AG7" i="5"/>
  <c r="AE71" i="5"/>
  <c r="AE75" i="5"/>
  <c r="AE74" i="5"/>
  <c r="AE73" i="5"/>
  <c r="AE72" i="5"/>
  <c r="AE29" i="5"/>
  <c r="AE28" i="5"/>
  <c r="AF27" i="5"/>
  <c r="AE31" i="5"/>
  <c r="AE33" i="5"/>
  <c r="AE37" i="5"/>
  <c r="AE41" i="5"/>
  <c r="AE45" i="5"/>
  <c r="AE49" i="5"/>
  <c r="AE32" i="5"/>
  <c r="AE36" i="5"/>
  <c r="AE40" i="5"/>
  <c r="AE44" i="5"/>
  <c r="AE48" i="5"/>
  <c r="AE30" i="5"/>
  <c r="AE35" i="5"/>
  <c r="AE39" i="5"/>
  <c r="AE43" i="5"/>
  <c r="AE47" i="5"/>
  <c r="AE38" i="5"/>
  <c r="AE52" i="5"/>
  <c r="AE56" i="5"/>
  <c r="AE60" i="5"/>
  <c r="AE64" i="5"/>
  <c r="AE34" i="5"/>
  <c r="AE50" i="5"/>
  <c r="AE51" i="5"/>
  <c r="AE55" i="5"/>
  <c r="AE59" i="5"/>
  <c r="AE63" i="5"/>
  <c r="AE46" i="5"/>
  <c r="AE54" i="5"/>
  <c r="AE58" i="5"/>
  <c r="AE62" i="5"/>
  <c r="AE66" i="5"/>
  <c r="AE57" i="5"/>
  <c r="AE67" i="5"/>
  <c r="AE68" i="5"/>
  <c r="AE42" i="5"/>
  <c r="AE53" i="5"/>
  <c r="AE70" i="5"/>
  <c r="AE65" i="5"/>
  <c r="AE69" i="5"/>
  <c r="AE61" i="5"/>
  <c r="AG11" i="5" l="1"/>
  <c r="AG10" i="5"/>
  <c r="AG14" i="5"/>
  <c r="AG9" i="5"/>
  <c r="AG13" i="5"/>
  <c r="AG17" i="5"/>
  <c r="AG16" i="5"/>
  <c r="AG20" i="5"/>
  <c r="AG24" i="5"/>
  <c r="AG12" i="5"/>
  <c r="AG15" i="5"/>
  <c r="AG23" i="5"/>
  <c r="AG19" i="5"/>
  <c r="AG22" i="5"/>
  <c r="AG18" i="5"/>
  <c r="AG21" i="5"/>
  <c r="AG25" i="5"/>
  <c r="AG8" i="5"/>
  <c r="AG26" i="5"/>
  <c r="AH7" i="5"/>
  <c r="AF72" i="5"/>
  <c r="AF71" i="5"/>
  <c r="AF75" i="5"/>
  <c r="AF74" i="5"/>
  <c r="AF73" i="5"/>
  <c r="AF30" i="5"/>
  <c r="AF29" i="5"/>
  <c r="AF28" i="5"/>
  <c r="AF34" i="5"/>
  <c r="AF38" i="5"/>
  <c r="AF42" i="5"/>
  <c r="AF46" i="5"/>
  <c r="AF50" i="5"/>
  <c r="AF33" i="5"/>
  <c r="AF37" i="5"/>
  <c r="AF41" i="5"/>
  <c r="AF45" i="5"/>
  <c r="AF49" i="5"/>
  <c r="AF31" i="5"/>
  <c r="AF32" i="5"/>
  <c r="AF36" i="5"/>
  <c r="AF40" i="5"/>
  <c r="AF44" i="5"/>
  <c r="AF48" i="5"/>
  <c r="AG27" i="5"/>
  <c r="AF39" i="5"/>
  <c r="AF53" i="5"/>
  <c r="AF57" i="5"/>
  <c r="AF61" i="5"/>
  <c r="AF65" i="5"/>
  <c r="AF35" i="5"/>
  <c r="AF52" i="5"/>
  <c r="AF56" i="5"/>
  <c r="AF60" i="5"/>
  <c r="AF64" i="5"/>
  <c r="AF47" i="5"/>
  <c r="AF51" i="5"/>
  <c r="AF55" i="5"/>
  <c r="AF59" i="5"/>
  <c r="AF63" i="5"/>
  <c r="AF58" i="5"/>
  <c r="AF68" i="5"/>
  <c r="AF54" i="5"/>
  <c r="AF67" i="5"/>
  <c r="AF43" i="5"/>
  <c r="AF69" i="5"/>
  <c r="AF66" i="5"/>
  <c r="AF70" i="5"/>
  <c r="AF62" i="5"/>
  <c r="AH12" i="5" l="1"/>
  <c r="AH11" i="5"/>
  <c r="AH10" i="5"/>
  <c r="AH14" i="5"/>
  <c r="AH18" i="5"/>
  <c r="AH17" i="5"/>
  <c r="AH21" i="5"/>
  <c r="AH13" i="5"/>
  <c r="AH16" i="5"/>
  <c r="AH20" i="5"/>
  <c r="AH9" i="5"/>
  <c r="AH15" i="5"/>
  <c r="AH23" i="5"/>
  <c r="AH19" i="5"/>
  <c r="AH22" i="5"/>
  <c r="AH26" i="5"/>
  <c r="AH24" i="5"/>
  <c r="AH25" i="5"/>
  <c r="AH8" i="5"/>
  <c r="AI7" i="5"/>
  <c r="AG73" i="5"/>
  <c r="AG72" i="5"/>
  <c r="AG71" i="5"/>
  <c r="AG75" i="5"/>
  <c r="AG74" i="5"/>
  <c r="AH27" i="5"/>
  <c r="AG31" i="5"/>
  <c r="AG30" i="5"/>
  <c r="AG29" i="5"/>
  <c r="AG35" i="5"/>
  <c r="AG39" i="5"/>
  <c r="AG43" i="5"/>
  <c r="AG47" i="5"/>
  <c r="AG34" i="5"/>
  <c r="AG38" i="5"/>
  <c r="AG42" i="5"/>
  <c r="AG46" i="5"/>
  <c r="AG50" i="5"/>
  <c r="AG33" i="5"/>
  <c r="AG37" i="5"/>
  <c r="AG41" i="5"/>
  <c r="AG45" i="5"/>
  <c r="AG49" i="5"/>
  <c r="AG40" i="5"/>
  <c r="AG54" i="5"/>
  <c r="AG58" i="5"/>
  <c r="AG62" i="5"/>
  <c r="AG66" i="5"/>
  <c r="AG36" i="5"/>
  <c r="AG53" i="5"/>
  <c r="AG57" i="5"/>
  <c r="AG61" i="5"/>
  <c r="AG65" i="5"/>
  <c r="AG28" i="5"/>
  <c r="AG32" i="5"/>
  <c r="AG48" i="5"/>
  <c r="AG52" i="5"/>
  <c r="AG56" i="5"/>
  <c r="AG60" i="5"/>
  <c r="AG64" i="5"/>
  <c r="AG59" i="5"/>
  <c r="AG69" i="5"/>
  <c r="AG44" i="5"/>
  <c r="AG55" i="5"/>
  <c r="AG68" i="5"/>
  <c r="AG51" i="5"/>
  <c r="AG67" i="5"/>
  <c r="AG63" i="5"/>
  <c r="AG70" i="5"/>
  <c r="AI9" i="5" l="1"/>
  <c r="AI13" i="5"/>
  <c r="AI12" i="5"/>
  <c r="AI11" i="5"/>
  <c r="AI15" i="5"/>
  <c r="AI19" i="5"/>
  <c r="AI18" i="5"/>
  <c r="AI22" i="5"/>
  <c r="AI14" i="5"/>
  <c r="AI17" i="5"/>
  <c r="AI21" i="5"/>
  <c r="AI10" i="5"/>
  <c r="AI16" i="5"/>
  <c r="AI20" i="5"/>
  <c r="AI23" i="5"/>
  <c r="AI8" i="5"/>
  <c r="AI26" i="5"/>
  <c r="AI24" i="5"/>
  <c r="AI25" i="5"/>
  <c r="AJ7" i="5"/>
  <c r="AH74" i="5"/>
  <c r="AH73" i="5"/>
  <c r="AH72" i="5"/>
  <c r="AH75" i="5"/>
  <c r="AH71" i="5"/>
  <c r="AH28" i="5"/>
  <c r="AI27" i="5"/>
  <c r="AH31" i="5"/>
  <c r="AH30" i="5"/>
  <c r="AH32" i="5"/>
  <c r="AH36" i="5"/>
  <c r="AH40" i="5"/>
  <c r="AH44" i="5"/>
  <c r="AH48" i="5"/>
  <c r="AH35" i="5"/>
  <c r="AH39" i="5"/>
  <c r="AH43" i="5"/>
  <c r="AH47" i="5"/>
  <c r="AH34" i="5"/>
  <c r="AH38" i="5"/>
  <c r="AH42" i="5"/>
  <c r="AH46" i="5"/>
  <c r="AH50" i="5"/>
  <c r="AH29" i="5"/>
  <c r="AH41" i="5"/>
  <c r="AH51" i="5"/>
  <c r="AH55" i="5"/>
  <c r="AH59" i="5"/>
  <c r="AH63" i="5"/>
  <c r="AH37" i="5"/>
  <c r="AH54" i="5"/>
  <c r="AH58" i="5"/>
  <c r="AH62" i="5"/>
  <c r="AH66" i="5"/>
  <c r="AH33" i="5"/>
  <c r="AH49" i="5"/>
  <c r="AH53" i="5"/>
  <c r="AH57" i="5"/>
  <c r="AH61" i="5"/>
  <c r="AH65" i="5"/>
  <c r="AH60" i="5"/>
  <c r="AH70" i="5"/>
  <c r="AH56" i="5"/>
  <c r="AH69" i="5"/>
  <c r="AH52" i="5"/>
  <c r="AH68" i="5"/>
  <c r="AH45" i="5"/>
  <c r="AH64" i="5"/>
  <c r="AH67" i="5"/>
  <c r="AJ10" i="5" l="1"/>
  <c r="AJ14" i="5"/>
  <c r="AJ9" i="5"/>
  <c r="AJ13" i="5"/>
  <c r="AJ12" i="5"/>
  <c r="AJ16" i="5"/>
  <c r="AJ19" i="5"/>
  <c r="AJ23" i="5"/>
  <c r="AJ18" i="5"/>
  <c r="AJ22" i="5"/>
  <c r="AJ11" i="5"/>
  <c r="AJ17" i="5"/>
  <c r="AJ21" i="5"/>
  <c r="AJ15" i="5"/>
  <c r="AJ20" i="5"/>
  <c r="AJ24" i="5"/>
  <c r="AJ8" i="5"/>
  <c r="AJ26" i="5"/>
  <c r="AJ25" i="5"/>
  <c r="AK7" i="5"/>
  <c r="AL7" i="5" s="1"/>
  <c r="AI71" i="5"/>
  <c r="AI75" i="5"/>
  <c r="AI74" i="5"/>
  <c r="AI73" i="5"/>
  <c r="AI72" i="5"/>
  <c r="AI29" i="5"/>
  <c r="AI28" i="5"/>
  <c r="AJ27" i="5"/>
  <c r="AI31" i="5"/>
  <c r="AI33" i="5"/>
  <c r="AI37" i="5"/>
  <c r="AI41" i="5"/>
  <c r="AI45" i="5"/>
  <c r="AI49" i="5"/>
  <c r="AI32" i="5"/>
  <c r="AI36" i="5"/>
  <c r="AI40" i="5"/>
  <c r="AI44" i="5"/>
  <c r="AI48" i="5"/>
  <c r="AI35" i="5"/>
  <c r="AI39" i="5"/>
  <c r="AI43" i="5"/>
  <c r="AI47" i="5"/>
  <c r="AI42" i="5"/>
  <c r="AI52" i="5"/>
  <c r="AI56" i="5"/>
  <c r="AI60" i="5"/>
  <c r="AI64" i="5"/>
  <c r="AI38" i="5"/>
  <c r="AI51" i="5"/>
  <c r="AI55" i="5"/>
  <c r="AI59" i="5"/>
  <c r="AI63" i="5"/>
  <c r="AI30" i="5"/>
  <c r="AI34" i="5"/>
  <c r="AI50" i="5"/>
  <c r="AI54" i="5"/>
  <c r="AI58" i="5"/>
  <c r="AI62" i="5"/>
  <c r="AI66" i="5"/>
  <c r="AI61" i="5"/>
  <c r="AI67" i="5"/>
  <c r="AI46" i="5"/>
  <c r="AI57" i="5"/>
  <c r="AI70" i="5"/>
  <c r="AI68" i="5"/>
  <c r="AI53" i="5"/>
  <c r="AI69" i="5"/>
  <c r="AI65" i="5"/>
  <c r="AL8" i="5" l="1"/>
  <c r="AL15" i="5"/>
  <c r="AL19" i="5"/>
  <c r="AL23" i="5"/>
  <c r="AL24" i="5"/>
  <c r="AL18" i="5"/>
  <c r="AL10" i="5"/>
  <c r="AL16" i="5"/>
  <c r="AL20" i="5"/>
  <c r="AL22" i="5"/>
  <c r="AL11" i="5"/>
  <c r="AL17" i="5"/>
  <c r="AL21" i="5"/>
  <c r="AL25" i="5"/>
  <c r="AL14" i="5"/>
  <c r="AL26" i="5"/>
  <c r="AL13" i="5"/>
  <c r="AL9" i="5"/>
  <c r="AL12" i="5"/>
  <c r="AK11" i="5"/>
  <c r="AK10" i="5"/>
  <c r="AK14" i="5"/>
  <c r="AK9" i="5"/>
  <c r="AK13" i="5"/>
  <c r="AK17" i="5"/>
  <c r="AK15" i="5"/>
  <c r="AK20" i="5"/>
  <c r="AK24" i="5"/>
  <c r="AK19" i="5"/>
  <c r="AK12" i="5"/>
  <c r="AK18" i="5"/>
  <c r="AK22" i="5"/>
  <c r="AK16" i="5"/>
  <c r="AK21" i="5"/>
  <c r="AK23" i="5"/>
  <c r="AK25" i="5"/>
  <c r="AK8" i="5"/>
  <c r="AK26" i="5"/>
  <c r="AJ72" i="5"/>
  <c r="AJ71" i="5"/>
  <c r="AJ75" i="5"/>
  <c r="AJ74" i="5"/>
  <c r="AJ73" i="5"/>
  <c r="AJ30" i="5"/>
  <c r="AJ29" i="5"/>
  <c r="AJ28" i="5"/>
  <c r="AK27" i="5"/>
  <c r="AJ34" i="5"/>
  <c r="AJ38" i="5"/>
  <c r="AJ42" i="5"/>
  <c r="AJ46" i="5"/>
  <c r="AJ50" i="5"/>
  <c r="AJ33" i="5"/>
  <c r="AJ37" i="5"/>
  <c r="AJ41" i="5"/>
  <c r="AJ45" i="5"/>
  <c r="AJ49" i="5"/>
  <c r="AJ32" i="5"/>
  <c r="AJ36" i="5"/>
  <c r="AJ40" i="5"/>
  <c r="AJ44" i="5"/>
  <c r="AJ48" i="5"/>
  <c r="AJ31" i="5"/>
  <c r="AJ43" i="5"/>
  <c r="AJ53" i="5"/>
  <c r="AJ57" i="5"/>
  <c r="AJ61" i="5"/>
  <c r="AJ65" i="5"/>
  <c r="AJ39" i="5"/>
  <c r="AJ52" i="5"/>
  <c r="AJ56" i="5"/>
  <c r="AJ60" i="5"/>
  <c r="AJ64" i="5"/>
  <c r="AJ35" i="5"/>
  <c r="AJ51" i="5"/>
  <c r="AJ55" i="5"/>
  <c r="AJ59" i="5"/>
  <c r="AJ63" i="5"/>
  <c r="AJ62" i="5"/>
  <c r="AJ68" i="5"/>
  <c r="AJ47" i="5"/>
  <c r="AJ69" i="5"/>
  <c r="AJ58" i="5"/>
  <c r="AJ67" i="5"/>
  <c r="AJ54" i="5"/>
  <c r="AJ70" i="5"/>
  <c r="AJ66" i="5"/>
  <c r="AK73" i="5" l="1"/>
  <c r="AK72" i="5"/>
  <c r="AK71" i="5"/>
  <c r="AK75" i="5"/>
  <c r="AK74" i="5"/>
  <c r="AL27" i="5"/>
  <c r="AK31" i="5"/>
  <c r="AK30" i="5"/>
  <c r="AK29" i="5"/>
  <c r="AK28" i="5"/>
  <c r="AK35" i="5"/>
  <c r="AK39" i="5"/>
  <c r="AK43" i="5"/>
  <c r="AK47" i="5"/>
  <c r="AK34" i="5"/>
  <c r="AK38" i="5"/>
  <c r="AK42" i="5"/>
  <c r="AK46" i="5"/>
  <c r="AK50" i="5"/>
  <c r="AK33" i="5"/>
  <c r="AK37" i="5"/>
  <c r="AK41" i="5"/>
  <c r="AK45" i="5"/>
  <c r="AK49" i="5"/>
  <c r="AK44" i="5"/>
  <c r="AK54" i="5"/>
  <c r="AK58" i="5"/>
  <c r="AK62" i="5"/>
  <c r="AK66" i="5"/>
  <c r="AK40" i="5"/>
  <c r="AK53" i="5"/>
  <c r="AK57" i="5"/>
  <c r="AK61" i="5"/>
  <c r="AK65" i="5"/>
  <c r="AK36" i="5"/>
  <c r="AK52" i="5"/>
  <c r="AK56" i="5"/>
  <c r="AK60" i="5"/>
  <c r="AK64" i="5"/>
  <c r="AK63" i="5"/>
  <c r="AK69" i="5"/>
  <c r="AK51" i="5"/>
  <c r="AK48" i="5"/>
  <c r="AK59" i="5"/>
  <c r="AK68" i="5"/>
  <c r="AK70" i="5"/>
  <c r="AK32" i="5"/>
  <c r="AK55" i="5"/>
  <c r="AK67" i="5"/>
  <c r="D26" i="5" l="1"/>
  <c r="E26" i="5"/>
  <c r="F26" i="5"/>
  <c r="G26" i="5"/>
  <c r="D23" i="5"/>
  <c r="E23" i="5"/>
  <c r="G23" i="5"/>
  <c r="F23" i="5"/>
  <c r="D15" i="5"/>
  <c r="E15" i="5"/>
  <c r="F15" i="5"/>
  <c r="G15" i="5"/>
  <c r="D14" i="5"/>
  <c r="F14" i="5"/>
  <c r="E14" i="5"/>
  <c r="G14" i="5"/>
  <c r="D8" i="5"/>
  <c r="E8" i="5"/>
  <c r="F8" i="5"/>
  <c r="G8" i="5"/>
  <c r="D22" i="5"/>
  <c r="E22" i="5"/>
  <c r="F22" i="5"/>
  <c r="G22" i="5"/>
  <c r="D19" i="5"/>
  <c r="F19" i="5"/>
  <c r="E19" i="5"/>
  <c r="G19" i="5"/>
  <c r="D21" i="5"/>
  <c r="F21" i="5"/>
  <c r="E21" i="5"/>
  <c r="G21" i="5"/>
  <c r="D10" i="5"/>
  <c r="F10" i="5"/>
  <c r="E10" i="5"/>
  <c r="G10" i="5"/>
  <c r="E24" i="5"/>
  <c r="F24" i="5"/>
  <c r="D24" i="5"/>
  <c r="G24" i="5"/>
  <c r="F17" i="5"/>
  <c r="D17" i="5"/>
  <c r="E17" i="5"/>
  <c r="G17" i="5"/>
  <c r="D13" i="5"/>
  <c r="E13" i="5"/>
  <c r="F13" i="5"/>
  <c r="G13" i="5"/>
  <c r="D16" i="5"/>
  <c r="G16" i="5"/>
  <c r="F16" i="5"/>
  <c r="E16" i="5"/>
  <c r="G11" i="5"/>
  <c r="D11" i="5"/>
  <c r="E11" i="5"/>
  <c r="F11" i="5"/>
  <c r="D25" i="5"/>
  <c r="E25" i="5"/>
  <c r="G25" i="5"/>
  <c r="F25" i="5"/>
  <c r="D9" i="5"/>
  <c r="E9" i="5"/>
  <c r="F9" i="5"/>
  <c r="G9" i="5"/>
  <c r="D20" i="5"/>
  <c r="G20" i="5"/>
  <c r="F20" i="5"/>
  <c r="E20" i="5"/>
  <c r="D18" i="5"/>
  <c r="G18" i="5"/>
  <c r="F18" i="5"/>
  <c r="E18" i="5"/>
  <c r="D12" i="5"/>
  <c r="E12" i="5"/>
  <c r="F12" i="5"/>
  <c r="G12" i="5"/>
  <c r="Q2" i="5" l="1"/>
  <c r="F2" i="5"/>
  <c r="I2" i="5"/>
  <c r="Z2" i="5"/>
</calcChain>
</file>

<file path=xl/sharedStrings.xml><?xml version="1.0" encoding="utf-8"?>
<sst xmlns="http://schemas.openxmlformats.org/spreadsheetml/2006/main" count="528" uniqueCount="156">
  <si>
    <t>Attendance List</t>
  </si>
  <si>
    <t>Months</t>
  </si>
  <si>
    <t>Highlight</t>
  </si>
  <si>
    <t>Saturday</t>
  </si>
  <si>
    <t>Sunday</t>
  </si>
  <si>
    <t>Holidays</t>
  </si>
  <si>
    <t>P</t>
  </si>
  <si>
    <t>A</t>
  </si>
  <si>
    <t>L</t>
  </si>
  <si>
    <t>SL</t>
  </si>
  <si>
    <t>Name/Date</t>
  </si>
  <si>
    <t>PF No.</t>
  </si>
  <si>
    <t>DESIGNATION</t>
  </si>
  <si>
    <t>Ann Gatimu</t>
  </si>
  <si>
    <t>Candy Chelagat</t>
  </si>
  <si>
    <t>David Mwangangi</t>
  </si>
  <si>
    <t>Esther Chege</t>
  </si>
  <si>
    <t>George Aminga</t>
  </si>
  <si>
    <t>Jane Mang’uye</t>
  </si>
  <si>
    <t>Jane Simba</t>
  </si>
  <si>
    <t>Jennifer Wasike</t>
  </si>
  <si>
    <t>Joselyne Muyundo</t>
  </si>
  <si>
    <t>Joyce Mutisya</t>
  </si>
  <si>
    <t>Justa Njiru</t>
  </si>
  <si>
    <t>Lilian Njagi</t>
  </si>
  <si>
    <t>Michael Jacob</t>
  </si>
  <si>
    <t>Michael Muthoka</t>
  </si>
  <si>
    <t>Scola J. Kipkulei</t>
  </si>
  <si>
    <t>Silvia Muchera</t>
  </si>
  <si>
    <t>Simon Kiilu</t>
  </si>
  <si>
    <t>Timotheo Waweru</t>
  </si>
  <si>
    <t>Winfred Wambua</t>
  </si>
  <si>
    <t>Unique ID</t>
  </si>
  <si>
    <t>Name</t>
  </si>
  <si>
    <t>DATE</t>
  </si>
  <si>
    <t>ATTENDANCE</t>
  </si>
  <si>
    <t>PRESENT</t>
  </si>
  <si>
    <t>ABSENT</t>
  </si>
  <si>
    <t>LEAVE</t>
  </si>
  <si>
    <t>SICK LEAVE</t>
  </si>
  <si>
    <t>Month</t>
  </si>
  <si>
    <t>1231_44837</t>
  </si>
  <si>
    <t>2394_44837</t>
  </si>
  <si>
    <t>2768_44837</t>
  </si>
  <si>
    <t>1187_44837</t>
  </si>
  <si>
    <t>2694_44837</t>
  </si>
  <si>
    <t>1897_44837</t>
  </si>
  <si>
    <t>1096_44837</t>
  </si>
  <si>
    <t>276_44837</t>
  </si>
  <si>
    <t>2671_44837</t>
  </si>
  <si>
    <t>1587_44837</t>
  </si>
  <si>
    <t>470_44837</t>
  </si>
  <si>
    <t>2651_44837</t>
  </si>
  <si>
    <t>2514_44837</t>
  </si>
  <si>
    <t>2228_44837</t>
  </si>
  <si>
    <t>2636_44837</t>
  </si>
  <si>
    <t>2738_44837</t>
  </si>
  <si>
    <t>1085_44837</t>
  </si>
  <si>
    <t>1749_44837</t>
  </si>
  <si>
    <t>2257_44837</t>
  </si>
  <si>
    <t>1231_44838</t>
  </si>
  <si>
    <t>2394_44838</t>
  </si>
  <si>
    <t>2768_44838</t>
  </si>
  <si>
    <t>1187_44838</t>
  </si>
  <si>
    <t>2694_44838</t>
  </si>
  <si>
    <t>1897_44838</t>
  </si>
  <si>
    <t>1096_44838</t>
  </si>
  <si>
    <t>276_44838</t>
  </si>
  <si>
    <t>2671_44838</t>
  </si>
  <si>
    <t>1587_44838</t>
  </si>
  <si>
    <t>470_44838</t>
  </si>
  <si>
    <t>2651_44838</t>
  </si>
  <si>
    <t>2514_44838</t>
  </si>
  <si>
    <t>2228_44838</t>
  </si>
  <si>
    <t>2636_44838</t>
  </si>
  <si>
    <t>2738_44838</t>
  </si>
  <si>
    <t>1085_44838</t>
  </si>
  <si>
    <t>1749_44838</t>
  </si>
  <si>
    <t>2257_44838</t>
  </si>
  <si>
    <t>1231_44839</t>
  </si>
  <si>
    <t>2394_44839</t>
  </si>
  <si>
    <t>2768_44839</t>
  </si>
  <si>
    <t>1187_44839</t>
  </si>
  <si>
    <t>2694_44839</t>
  </si>
  <si>
    <t>1897_44839</t>
  </si>
  <si>
    <t>1096_44839</t>
  </si>
  <si>
    <t>276_44839</t>
  </si>
  <si>
    <t>2671_44839</t>
  </si>
  <si>
    <t>1587_44839</t>
  </si>
  <si>
    <t>470_44839</t>
  </si>
  <si>
    <t>2651_44839</t>
  </si>
  <si>
    <t>2514_44839</t>
  </si>
  <si>
    <t>2228_44839</t>
  </si>
  <si>
    <t>2636_44839</t>
  </si>
  <si>
    <t>2738_44839</t>
  </si>
  <si>
    <t>1085_44839</t>
  </si>
  <si>
    <t>1749_44839</t>
  </si>
  <si>
    <t>2257_44839</t>
  </si>
  <si>
    <t>1231_44840</t>
  </si>
  <si>
    <t>2394_44840</t>
  </si>
  <si>
    <t>2768_44840</t>
  </si>
  <si>
    <t>1187_44840</t>
  </si>
  <si>
    <t>2694_44840</t>
  </si>
  <si>
    <t>1897_44840</t>
  </si>
  <si>
    <t>1096_44840</t>
  </si>
  <si>
    <t>276_44840</t>
  </si>
  <si>
    <t>2671_44840</t>
  </si>
  <si>
    <t>1587_44840</t>
  </si>
  <si>
    <t>470_44840</t>
  </si>
  <si>
    <t>2651_44840</t>
  </si>
  <si>
    <t>2514_44840</t>
  </si>
  <si>
    <t>2228_44840</t>
  </si>
  <si>
    <t>2636_44840</t>
  </si>
  <si>
    <t>2738_44840</t>
  </si>
  <si>
    <t>1085_44840</t>
  </si>
  <si>
    <t>1749_44840</t>
  </si>
  <si>
    <t>2257_44840</t>
  </si>
  <si>
    <t>1231_44841</t>
  </si>
  <si>
    <t>2394_44841</t>
  </si>
  <si>
    <t>2768_44841</t>
  </si>
  <si>
    <t>1187_44841</t>
  </si>
  <si>
    <t>2694_44841</t>
  </si>
  <si>
    <t>1897_44841</t>
  </si>
  <si>
    <t>1096_44841</t>
  </si>
  <si>
    <t>276_44841</t>
  </si>
  <si>
    <t>2671_44841</t>
  </si>
  <si>
    <t>1587_44841</t>
  </si>
  <si>
    <t>470_44841</t>
  </si>
  <si>
    <t>2651_44841</t>
  </si>
  <si>
    <t>2514_44841</t>
  </si>
  <si>
    <t>2228_44841</t>
  </si>
  <si>
    <t>2636_44841</t>
  </si>
  <si>
    <t>2738_44841</t>
  </si>
  <si>
    <t>1085_44841</t>
  </si>
  <si>
    <t>1749_44841</t>
  </si>
  <si>
    <t>2257_44841</t>
  </si>
  <si>
    <t>p</t>
  </si>
  <si>
    <t>1231_44842</t>
  </si>
  <si>
    <t>2394_44842</t>
  </si>
  <si>
    <t>2768_44842</t>
  </si>
  <si>
    <t>1187_44842</t>
  </si>
  <si>
    <t>2694_44842</t>
  </si>
  <si>
    <t>1897_44842</t>
  </si>
  <si>
    <t>1096_44842</t>
  </si>
  <si>
    <t>276_44842</t>
  </si>
  <si>
    <t>2671_44842</t>
  </si>
  <si>
    <t>1587_44842</t>
  </si>
  <si>
    <t>470_44842</t>
  </si>
  <si>
    <t>2651_44842</t>
  </si>
  <si>
    <t>2514_44842</t>
  </si>
  <si>
    <t>2228_44842</t>
  </si>
  <si>
    <t>2636_44842</t>
  </si>
  <si>
    <t>2738_44842</t>
  </si>
  <si>
    <t>1085_44842</t>
  </si>
  <si>
    <t>1749_44842</t>
  </si>
  <si>
    <t>2257_44842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</si>
</sst>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000"/>
    <numFmt numFmtId="165" formatCode="mmm\-yyyy"/>
    <numFmt numFmtId="166" formatCode="dd"/>
    <numFmt numFmtId="167" formatCode="dd\-mm\-yy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 tint="-4.9989318521683403E-2"/>
      <name val="Arial"/>
      <family val="2"/>
    </font>
    <font>
      <sz val="12"/>
      <color theme="0" tint="-4.9989318521683403E-2"/>
      <name val="Arial"/>
      <family val="2"/>
    </font>
    <font>
      <sz val="10"/>
      <color theme="1"/>
      <name val="Calibri"/>
      <family val="2"/>
      <scheme val="minor"/>
    </font>
    <font>
      <b/>
      <sz val="11"/>
      <color theme="0" tint="-4.9989318521683403E-2"/>
      <name val="Arial"/>
      <family val="2"/>
    </font>
    <font>
      <sz val="12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sz val="8"/>
      <color rgb="FF000000"/>
      <name val="Segoe UI"/>
      <family val="2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17" fontId="0" fillId="0" borderId="0" xfId="0" applyNumberFormat="1"/>
    <xf numFmtId="0" fontId="4" fillId="3" borderId="1" xfId="0" applyFont="1" applyFill="1" applyBorder="1" applyAlignment="1">
      <alignment horizontal="left"/>
    </xf>
    <xf numFmtId="0" fontId="5" fillId="3" borderId="0" xfId="0" applyFont="1" applyFill="1"/>
    <xf numFmtId="0" fontId="4" fillId="3" borderId="2" xfId="0" applyFont="1" applyFill="1" applyBorder="1" applyAlignment="1">
      <alignment horizontal="left"/>
    </xf>
    <xf numFmtId="14" fontId="0" fillId="0" borderId="0" xfId="0" applyNumberFormat="1"/>
    <xf numFmtId="0" fontId="3" fillId="0" borderId="3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left"/>
    </xf>
    <xf numFmtId="0" fontId="3" fillId="0" borderId="0" xfId="0" applyFont="1" applyBorder="1" applyAlignment="1">
      <alignment vertical="center"/>
    </xf>
    <xf numFmtId="164" fontId="3" fillId="0" borderId="0" xfId="0" applyNumberFormat="1" applyFont="1" applyBorder="1" applyAlignment="1">
      <alignment vertical="center"/>
    </xf>
    <xf numFmtId="164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164" fontId="3" fillId="0" borderId="0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>
      <alignment horizontal="center" vertical="center"/>
    </xf>
    <xf numFmtId="167" fontId="4" fillId="3" borderId="2" xfId="0" applyNumberFormat="1" applyFont="1" applyFill="1" applyBorder="1" applyAlignment="1">
      <alignment horizontal="left"/>
    </xf>
    <xf numFmtId="167" fontId="0" fillId="0" borderId="0" xfId="0" applyNumberFormat="1"/>
    <xf numFmtId="0" fontId="6" fillId="0" borderId="0" xfId="0" applyFont="1"/>
    <xf numFmtId="0" fontId="7" fillId="3" borderId="1" xfId="0" applyFont="1" applyFill="1" applyBorder="1" applyAlignment="1">
      <alignment horizontal="left"/>
    </xf>
    <xf numFmtId="0" fontId="7" fillId="3" borderId="3" xfId="0" applyFont="1" applyFill="1" applyBorder="1" applyAlignment="1">
      <alignment horizontal="left"/>
    </xf>
    <xf numFmtId="166" fontId="0" fillId="0" borderId="0" xfId="0" applyNumberFormat="1" applyFont="1"/>
    <xf numFmtId="0" fontId="0" fillId="0" borderId="0" xfId="0" applyFont="1"/>
    <xf numFmtId="15" fontId="0" fillId="4" borderId="0" xfId="0" applyNumberFormat="1" applyFill="1"/>
    <xf numFmtId="15" fontId="2" fillId="2" borderId="1" xfId="0" applyNumberFormat="1" applyFont="1" applyFill="1" applyBorder="1"/>
    <xf numFmtId="0" fontId="2" fillId="0" borderId="0" xfId="0" applyFont="1"/>
    <xf numFmtId="0" fontId="0" fillId="0" borderId="1" xfId="0" applyBorder="1"/>
    <xf numFmtId="164" fontId="0" fillId="0" borderId="0" xfId="0" applyNumberFormat="1" applyFont="1"/>
    <xf numFmtId="164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164" fontId="3" fillId="0" borderId="1" xfId="0" applyNumberFormat="1" applyFont="1" applyBorder="1" applyAlignment="1">
      <alignment horizontal="center" vertical="center"/>
    </xf>
    <xf numFmtId="0" fontId="0" fillId="0" borderId="1" xfId="0" applyFont="1" applyBorder="1"/>
    <xf numFmtId="164" fontId="0" fillId="0" borderId="1" xfId="0" applyNumberFormat="1" applyBorder="1"/>
    <xf numFmtId="0" fontId="0" fillId="0" borderId="3" xfId="0" applyFill="1" applyBorder="1"/>
    <xf numFmtId="164" fontId="0" fillId="0" borderId="0" xfId="0" applyNumberFormat="1" applyFont="1" applyBorder="1" applyAlignment="1">
      <alignment vertical="center"/>
    </xf>
    <xf numFmtId="0" fontId="0" fillId="0" borderId="0" xfId="0" applyFont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0" fontId="12" fillId="0" borderId="0" xfId="0" applyFont="1" applyAlignment="1">
      <alignment horizontal="center" vertical="center" wrapText="1"/>
    </xf>
    <xf numFmtId="165" fontId="13" fillId="4" borderId="0" xfId="0" applyNumberFormat="1" applyFont="1" applyFill="1" applyProtection="1">
      <protection locked="0"/>
    </xf>
    <xf numFmtId="0" fontId="0" fillId="0" borderId="0" xfId="0" applyProtection="1">
      <protection locked="0"/>
    </xf>
    <xf numFmtId="0" fontId="9" fillId="5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9" fillId="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9" fillId="8" borderId="0" xfId="0" applyFont="1" applyFill="1" applyAlignment="1">
      <alignment horizontal="center" vertical="center"/>
    </xf>
  </cellXfs>
  <cellStyles count="1">
    <cellStyle name="Normal" xfId="0" builtinId="0"/>
  </cellStyles>
  <dxfs count="11"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 patternType="solid">
          <fgColor theme="0" tint="-0.499984740745262"/>
          <bgColor theme="0" tint="-0.499984740745262"/>
        </patternFill>
      </fill>
      <border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numFmt numFmtId="19" formatCode="dd/mm/yyyy"/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D$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</xdr:rowOff>
    </xdr:from>
    <xdr:to>
      <xdr:col>2</xdr:col>
      <xdr:colOff>882015</xdr:colOff>
      <xdr:row>2</xdr:row>
      <xdr:rowOff>209551</xdr:rowOff>
    </xdr:to>
    <xdr:pic>
      <xdr:nvPicPr>
        <xdr:cNvPr id="6" name="Picture 5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"/>
          <a:ext cx="2120265" cy="5905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152400</xdr:rowOff>
        </xdr:from>
        <xdr:to>
          <xdr:col>7</xdr:col>
          <xdr:colOff>276225</xdr:colOff>
          <xdr:row>2</xdr:row>
          <xdr:rowOff>38100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Update Data When Already Exist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590551</xdr:colOff>
      <xdr:row>0</xdr:row>
      <xdr:rowOff>104775</xdr:rowOff>
    </xdr:from>
    <xdr:to>
      <xdr:col>2</xdr:col>
      <xdr:colOff>47626</xdr:colOff>
      <xdr:row>2</xdr:row>
      <xdr:rowOff>28575</xdr:rowOff>
    </xdr:to>
    <xdr:sp macro="[0]!Refresh_Data" textlink="">
      <xdr:nvSpPr>
        <xdr:cNvPr id="2" name="Rounded Rectangle 1"/>
        <xdr:cNvSpPr/>
      </xdr:nvSpPr>
      <xdr:spPr>
        <a:xfrm>
          <a:off x="590551" y="104775"/>
          <a:ext cx="1257300" cy="3048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Refresh</a:t>
          </a:r>
        </a:p>
      </xdr:txBody>
    </xdr:sp>
    <xdr:clientData/>
  </xdr:twoCellAnchor>
  <xdr:twoCellAnchor>
    <xdr:from>
      <xdr:col>2</xdr:col>
      <xdr:colOff>266700</xdr:colOff>
      <xdr:row>0</xdr:row>
      <xdr:rowOff>104775</xdr:rowOff>
    </xdr:from>
    <xdr:to>
      <xdr:col>3</xdr:col>
      <xdr:colOff>476250</xdr:colOff>
      <xdr:row>2</xdr:row>
      <xdr:rowOff>28575</xdr:rowOff>
    </xdr:to>
    <xdr:sp macro="[0]!Mark_Attendance" textlink="">
      <xdr:nvSpPr>
        <xdr:cNvPr id="4" name="Rounded Rectangle 3"/>
        <xdr:cNvSpPr/>
      </xdr:nvSpPr>
      <xdr:spPr>
        <a:xfrm>
          <a:off x="2066925" y="104775"/>
          <a:ext cx="1257300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Mark Attendance</a:t>
          </a:r>
        </a:p>
      </xdr:txBody>
    </xdr:sp>
    <xdr:clientData/>
  </xdr:twoCellAnchor>
  <xdr:twoCellAnchor editAs="oneCell">
    <xdr:from>
      <xdr:col>9</xdr:col>
      <xdr:colOff>0</xdr:colOff>
      <xdr:row>0</xdr:row>
      <xdr:rowOff>1</xdr:rowOff>
    </xdr:from>
    <xdr:to>
      <xdr:col>12</xdr:col>
      <xdr:colOff>158115</xdr:colOff>
      <xdr:row>2</xdr:row>
      <xdr:rowOff>171451</xdr:rowOff>
    </xdr:to>
    <xdr:pic>
      <xdr:nvPicPr>
        <xdr:cNvPr id="5" name="Picture 4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"/>
          <a:ext cx="2120265" cy="5524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ables/table1.xml><?xml version="1.0" encoding="utf-8"?>
<table xmlns="http://schemas.openxmlformats.org/spreadsheetml/2006/main" id="2" name="Table2" displayName="Table2" ref="A1:F115" totalsRowShown="0">
  <autoFilter ref="A1:F115"/>
  <tableColumns count="6">
    <tableColumn id="1" name="Unique ID"/>
    <tableColumn id="2" name="PF No."/>
    <tableColumn id="3" name="Name/Date"/>
    <tableColumn id="4" name="DESIGNATION"/>
    <tableColumn id="5" name="DATE" dataDxfId="9"/>
    <tableColumn id="6" name="ATTENDA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1"/>
  <sheetViews>
    <sheetView workbookViewId="0">
      <selection activeCell="E7" sqref="E7"/>
    </sheetView>
  </sheetViews>
  <sheetFormatPr defaultRowHeight="15" x14ac:dyDescent="0.25"/>
  <cols>
    <col min="2" max="2" width="21.28515625" customWidth="1"/>
    <col min="3" max="3" width="17.7109375" customWidth="1"/>
  </cols>
  <sheetData>
    <row r="1" spans="1:3" ht="15.75" x14ac:dyDescent="0.25">
      <c r="A1" s="8" t="s">
        <v>11</v>
      </c>
      <c r="B1" s="8" t="s">
        <v>10</v>
      </c>
      <c r="C1" s="8" t="s">
        <v>12</v>
      </c>
    </row>
    <row r="2" spans="1:3" x14ac:dyDescent="0.25">
      <c r="A2" s="10">
        <v>1231</v>
      </c>
      <c r="B2" s="9" t="s">
        <v>13</v>
      </c>
      <c r="C2" s="11"/>
    </row>
    <row r="3" spans="1:3" x14ac:dyDescent="0.25">
      <c r="A3" s="10">
        <v>2394</v>
      </c>
      <c r="B3" s="9" t="s">
        <v>14</v>
      </c>
      <c r="C3" s="11"/>
    </row>
    <row r="4" spans="1:3" x14ac:dyDescent="0.25">
      <c r="A4" s="9">
        <v>2768</v>
      </c>
      <c r="B4" s="9" t="s">
        <v>15</v>
      </c>
      <c r="C4" s="12"/>
    </row>
    <row r="5" spans="1:3" x14ac:dyDescent="0.25">
      <c r="A5" s="10">
        <v>1187</v>
      </c>
      <c r="B5" s="9" t="s">
        <v>16</v>
      </c>
      <c r="C5" s="11"/>
    </row>
    <row r="6" spans="1:3" x14ac:dyDescent="0.25">
      <c r="A6" s="9">
        <v>2694</v>
      </c>
      <c r="B6" s="9" t="s">
        <v>17</v>
      </c>
      <c r="C6" s="12"/>
    </row>
    <row r="7" spans="1:3" x14ac:dyDescent="0.25">
      <c r="A7" s="10">
        <v>1897</v>
      </c>
      <c r="B7" s="9" t="s">
        <v>18</v>
      </c>
      <c r="C7" s="11"/>
    </row>
    <row r="8" spans="1:3" x14ac:dyDescent="0.25">
      <c r="A8" s="27">
        <v>1096</v>
      </c>
      <c r="B8" s="9" t="s">
        <v>19</v>
      </c>
      <c r="C8" s="11"/>
    </row>
    <row r="9" spans="1:3" x14ac:dyDescent="0.25">
      <c r="A9" s="10">
        <v>276</v>
      </c>
      <c r="B9" s="9" t="s">
        <v>20</v>
      </c>
      <c r="C9" s="11"/>
    </row>
    <row r="10" spans="1:3" x14ac:dyDescent="0.25">
      <c r="A10" s="9">
        <v>2671</v>
      </c>
      <c r="B10" s="9" t="s">
        <v>21</v>
      </c>
      <c r="C10" s="12"/>
    </row>
    <row r="11" spans="1:3" x14ac:dyDescent="0.25">
      <c r="A11" s="14">
        <v>1587</v>
      </c>
      <c r="B11" s="13" t="s">
        <v>22</v>
      </c>
      <c r="C11" s="15"/>
    </row>
    <row r="12" spans="1:3" x14ac:dyDescent="0.25">
      <c r="A12" s="10">
        <v>470</v>
      </c>
      <c r="B12" s="9" t="s">
        <v>23</v>
      </c>
      <c r="C12" s="11"/>
    </row>
    <row r="13" spans="1:3" x14ac:dyDescent="0.25">
      <c r="A13" s="10">
        <v>2651</v>
      </c>
      <c r="B13" s="9" t="s">
        <v>24</v>
      </c>
      <c r="C13" s="11"/>
    </row>
    <row r="14" spans="1:3" x14ac:dyDescent="0.25">
      <c r="A14" s="10">
        <v>2514</v>
      </c>
      <c r="B14" s="9" t="s">
        <v>25</v>
      </c>
      <c r="C14" s="12"/>
    </row>
    <row r="15" spans="1:3" x14ac:dyDescent="0.25">
      <c r="A15" s="10">
        <v>2228</v>
      </c>
      <c r="B15" s="9" t="s">
        <v>26</v>
      </c>
      <c r="C15" s="11"/>
    </row>
    <row r="16" spans="1:3" x14ac:dyDescent="0.25">
      <c r="A16" s="10">
        <v>2636</v>
      </c>
      <c r="B16" s="9" t="s">
        <v>27</v>
      </c>
      <c r="C16" s="11"/>
    </row>
    <row r="17" spans="1:3" x14ac:dyDescent="0.25">
      <c r="A17" s="10">
        <v>2738</v>
      </c>
      <c r="B17" s="9" t="s">
        <v>28</v>
      </c>
      <c r="C17" s="11"/>
    </row>
    <row r="18" spans="1:3" x14ac:dyDescent="0.25">
      <c r="A18" s="10">
        <v>1085</v>
      </c>
      <c r="B18" s="9" t="s">
        <v>29</v>
      </c>
      <c r="C18" s="12"/>
    </row>
    <row r="19" spans="1:3" x14ac:dyDescent="0.25">
      <c r="A19" s="10">
        <v>1749</v>
      </c>
      <c r="B19" s="9" t="s">
        <v>30</v>
      </c>
      <c r="C19" s="11"/>
    </row>
    <row r="20" spans="1:3" x14ac:dyDescent="0.25">
      <c r="A20" s="10">
        <v>2257</v>
      </c>
      <c r="B20" s="9" t="s">
        <v>31</v>
      </c>
      <c r="C20" s="11"/>
    </row>
    <row r="21" spans="1:3" x14ac:dyDescent="0.25">
      <c r="A21" s="7"/>
      <c r="B21" s="7"/>
    </row>
  </sheetData>
  <conditionalFormatting sqref="A8">
    <cfRule type="expression" dxfId="10" priority="1">
      <formula>AND($A9&lt;&gt;"",A$4&lt;&gt;"")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90"/>
  <sheetViews>
    <sheetView topLeftCell="A96" workbookViewId="0">
      <selection activeCell="I8" sqref="I8"/>
    </sheetView>
  </sheetViews>
  <sheetFormatPr defaultRowHeight="15" x14ac:dyDescent="0.25"/>
  <cols>
    <col min="1" max="1" width="14" customWidth="1"/>
    <col min="2" max="2" width="19.7109375" customWidth="1"/>
    <col min="3" max="3" width="21.5703125" customWidth="1"/>
    <col min="4" max="4" width="19" customWidth="1"/>
    <col min="5" max="5" width="13.42578125" style="17" customWidth="1"/>
    <col min="6" max="6" width="19.140625" customWidth="1"/>
  </cols>
  <sheetData>
    <row r="1" spans="1:6" ht="15.75" x14ac:dyDescent="0.25">
      <c r="A1" s="4" t="s">
        <v>32</v>
      </c>
      <c r="B1" s="3" t="s">
        <v>11</v>
      </c>
      <c r="C1" s="8" t="s">
        <v>10</v>
      </c>
      <c r="D1" s="3" t="s">
        <v>12</v>
      </c>
      <c r="E1" s="16" t="s">
        <v>34</v>
      </c>
      <c r="F1" s="5" t="s">
        <v>35</v>
      </c>
    </row>
    <row r="2" spans="1:6" x14ac:dyDescent="0.25">
      <c r="A2" t="s">
        <v>41</v>
      </c>
      <c r="B2">
        <v>1231</v>
      </c>
      <c r="C2" t="s">
        <v>13</v>
      </c>
      <c r="E2" s="6">
        <v>44837</v>
      </c>
      <c r="F2" t="s">
        <v>7</v>
      </c>
    </row>
    <row r="3" spans="1:6" x14ac:dyDescent="0.25">
      <c r="A3" t="s">
        <v>42</v>
      </c>
      <c r="B3">
        <v>2394</v>
      </c>
      <c r="C3" t="s">
        <v>14</v>
      </c>
      <c r="E3" s="6">
        <v>44837</v>
      </c>
      <c r="F3" t="s">
        <v>7</v>
      </c>
    </row>
    <row r="4" spans="1:6" x14ac:dyDescent="0.25">
      <c r="A4" t="s">
        <v>43</v>
      </c>
      <c r="B4">
        <v>2768</v>
      </c>
      <c r="C4" t="s">
        <v>15</v>
      </c>
      <c r="E4" s="6">
        <v>44837</v>
      </c>
      <c r="F4" t="s">
        <v>7</v>
      </c>
    </row>
    <row r="5" spans="1:6" x14ac:dyDescent="0.25">
      <c r="A5" t="s">
        <v>44</v>
      </c>
      <c r="B5">
        <v>1187</v>
      </c>
      <c r="C5" t="s">
        <v>16</v>
      </c>
      <c r="E5" s="6">
        <v>44837</v>
      </c>
      <c r="F5" t="s">
        <v>7</v>
      </c>
    </row>
    <row r="6" spans="1:6" x14ac:dyDescent="0.25">
      <c r="A6" t="s">
        <v>45</v>
      </c>
      <c r="B6">
        <v>2694</v>
      </c>
      <c r="C6" t="s">
        <v>17</v>
      </c>
      <c r="E6" s="6">
        <v>44837</v>
      </c>
      <c r="F6" t="s">
        <v>7</v>
      </c>
    </row>
    <row r="7" spans="1:6" x14ac:dyDescent="0.25">
      <c r="A7" t="s">
        <v>46</v>
      </c>
      <c r="B7">
        <v>1897</v>
      </c>
      <c r="C7" t="s">
        <v>18</v>
      </c>
      <c r="E7" s="6">
        <v>44837</v>
      </c>
      <c r="F7" t="s">
        <v>7</v>
      </c>
    </row>
    <row r="8" spans="1:6" x14ac:dyDescent="0.25">
      <c r="A8" t="s">
        <v>47</v>
      </c>
      <c r="B8">
        <v>1096</v>
      </c>
      <c r="C8" t="s">
        <v>19</v>
      </c>
      <c r="E8" s="6">
        <v>44837</v>
      </c>
      <c r="F8" t="s">
        <v>7</v>
      </c>
    </row>
    <row r="9" spans="1:6" x14ac:dyDescent="0.25">
      <c r="A9" t="s">
        <v>48</v>
      </c>
      <c r="B9">
        <v>276</v>
      </c>
      <c r="C9" t="s">
        <v>20</v>
      </c>
      <c r="E9" s="6">
        <v>44837</v>
      </c>
      <c r="F9" t="s">
        <v>7</v>
      </c>
    </row>
    <row r="10" spans="1:6" x14ac:dyDescent="0.25">
      <c r="A10" t="s">
        <v>49</v>
      </c>
      <c r="B10">
        <v>2671</v>
      </c>
      <c r="C10" t="s">
        <v>21</v>
      </c>
      <c r="E10" s="6">
        <v>44837</v>
      </c>
      <c r="F10" t="s">
        <v>7</v>
      </c>
    </row>
    <row r="11" spans="1:6" x14ac:dyDescent="0.25">
      <c r="A11" t="s">
        <v>50</v>
      </c>
      <c r="B11">
        <v>1587</v>
      </c>
      <c r="C11" t="s">
        <v>22</v>
      </c>
      <c r="E11" s="6">
        <v>44837</v>
      </c>
      <c r="F11" t="s">
        <v>7</v>
      </c>
    </row>
    <row r="12" spans="1:6" x14ac:dyDescent="0.25">
      <c r="A12" t="s">
        <v>51</v>
      </c>
      <c r="B12">
        <v>470</v>
      </c>
      <c r="C12" t="s">
        <v>23</v>
      </c>
      <c r="E12" s="6">
        <v>44837</v>
      </c>
      <c r="F12" t="s">
        <v>7</v>
      </c>
    </row>
    <row r="13" spans="1:6" x14ac:dyDescent="0.25">
      <c r="A13" t="s">
        <v>52</v>
      </c>
      <c r="B13">
        <v>2651</v>
      </c>
      <c r="C13" t="s">
        <v>24</v>
      </c>
      <c r="E13" s="6">
        <v>44837</v>
      </c>
      <c r="F13" t="s">
        <v>7</v>
      </c>
    </row>
    <row r="14" spans="1:6" x14ac:dyDescent="0.25">
      <c r="A14" t="s">
        <v>53</v>
      </c>
      <c r="B14">
        <v>2514</v>
      </c>
      <c r="C14" t="s">
        <v>25</v>
      </c>
      <c r="E14" s="6">
        <v>44837</v>
      </c>
      <c r="F14" t="s">
        <v>7</v>
      </c>
    </row>
    <row r="15" spans="1:6" x14ac:dyDescent="0.25">
      <c r="A15" t="s">
        <v>54</v>
      </c>
      <c r="B15">
        <v>2228</v>
      </c>
      <c r="C15" t="s">
        <v>26</v>
      </c>
      <c r="E15" s="6">
        <v>44837</v>
      </c>
      <c r="F15" t="s">
        <v>7</v>
      </c>
    </row>
    <row r="16" spans="1:6" x14ac:dyDescent="0.25">
      <c r="A16" t="s">
        <v>55</v>
      </c>
      <c r="B16">
        <v>2636</v>
      </c>
      <c r="C16" t="s">
        <v>27</v>
      </c>
      <c r="E16" s="6">
        <v>44837</v>
      </c>
      <c r="F16" t="s">
        <v>7</v>
      </c>
    </row>
    <row r="17" spans="1:6" x14ac:dyDescent="0.25">
      <c r="A17" t="s">
        <v>56</v>
      </c>
      <c r="B17">
        <v>2738</v>
      </c>
      <c r="C17" t="s">
        <v>28</v>
      </c>
      <c r="E17" s="6">
        <v>44837</v>
      </c>
      <c r="F17" t="s">
        <v>7</v>
      </c>
    </row>
    <row r="18" spans="1:6" x14ac:dyDescent="0.25">
      <c r="A18" t="s">
        <v>57</v>
      </c>
      <c r="B18">
        <v>1085</v>
      </c>
      <c r="C18" t="s">
        <v>29</v>
      </c>
      <c r="E18" s="6">
        <v>44837</v>
      </c>
      <c r="F18" t="s">
        <v>7</v>
      </c>
    </row>
    <row r="19" spans="1:6" x14ac:dyDescent="0.25">
      <c r="A19" t="s">
        <v>58</v>
      </c>
      <c r="B19">
        <v>1749</v>
      </c>
      <c r="C19" t="s">
        <v>30</v>
      </c>
      <c r="E19" s="6">
        <v>44837</v>
      </c>
      <c r="F19" t="s">
        <v>7</v>
      </c>
    </row>
    <row r="20" spans="1:6" x14ac:dyDescent="0.25">
      <c r="A20" t="s">
        <v>59</v>
      </c>
      <c r="B20">
        <v>2257</v>
      </c>
      <c r="C20" t="s">
        <v>31</v>
      </c>
      <c r="E20" s="6">
        <v>44837</v>
      </c>
      <c r="F20" t="s">
        <v>7</v>
      </c>
    </row>
    <row r="21" spans="1:6" x14ac:dyDescent="0.25">
      <c r="A21" t="s">
        <v>60</v>
      </c>
      <c r="B21">
        <v>1231</v>
      </c>
      <c r="C21" t="s">
        <v>13</v>
      </c>
      <c r="E21" s="6">
        <v>44838</v>
      </c>
      <c r="F21" t="s">
        <v>6</v>
      </c>
    </row>
    <row r="22" spans="1:6" x14ac:dyDescent="0.25">
      <c r="A22" t="s">
        <v>61</v>
      </c>
      <c r="B22">
        <v>2394</v>
      </c>
      <c r="C22" t="s">
        <v>14</v>
      </c>
      <c r="E22" s="6">
        <v>44838</v>
      </c>
      <c r="F22" t="s">
        <v>6</v>
      </c>
    </row>
    <row r="23" spans="1:6" x14ac:dyDescent="0.25">
      <c r="A23" t="s">
        <v>62</v>
      </c>
      <c r="B23">
        <v>2768</v>
      </c>
      <c r="C23" t="s">
        <v>15</v>
      </c>
      <c r="E23" s="6">
        <v>44838</v>
      </c>
      <c r="F23" t="s">
        <v>6</v>
      </c>
    </row>
    <row r="24" spans="1:6" x14ac:dyDescent="0.25">
      <c r="A24" t="s">
        <v>63</v>
      </c>
      <c r="B24">
        <v>1187</v>
      </c>
      <c r="C24" t="s">
        <v>16</v>
      </c>
      <c r="E24" s="6">
        <v>44838</v>
      </c>
      <c r="F24" t="s">
        <v>6</v>
      </c>
    </row>
    <row r="25" spans="1:6" x14ac:dyDescent="0.25">
      <c r="A25" t="s">
        <v>64</v>
      </c>
      <c r="B25">
        <v>2694</v>
      </c>
      <c r="C25" t="s">
        <v>17</v>
      </c>
      <c r="E25" s="6">
        <v>44838</v>
      </c>
      <c r="F25" t="s">
        <v>6</v>
      </c>
    </row>
    <row r="26" spans="1:6" x14ac:dyDescent="0.25">
      <c r="A26" t="s">
        <v>65</v>
      </c>
      <c r="B26">
        <v>1897</v>
      </c>
      <c r="C26" t="s">
        <v>18</v>
      </c>
      <c r="E26" s="6">
        <v>44838</v>
      </c>
      <c r="F26" t="s">
        <v>6</v>
      </c>
    </row>
    <row r="27" spans="1:6" x14ac:dyDescent="0.25">
      <c r="A27" t="s">
        <v>66</v>
      </c>
      <c r="B27">
        <v>1096</v>
      </c>
      <c r="C27" t="s">
        <v>19</v>
      </c>
      <c r="E27" s="6">
        <v>44838</v>
      </c>
      <c r="F27" t="s">
        <v>6</v>
      </c>
    </row>
    <row r="28" spans="1:6" x14ac:dyDescent="0.25">
      <c r="A28" t="s">
        <v>67</v>
      </c>
      <c r="B28">
        <v>276</v>
      </c>
      <c r="C28" t="s">
        <v>20</v>
      </c>
      <c r="E28" s="6">
        <v>44838</v>
      </c>
      <c r="F28" t="s">
        <v>8</v>
      </c>
    </row>
    <row r="29" spans="1:6" x14ac:dyDescent="0.25">
      <c r="A29" t="s">
        <v>68</v>
      </c>
      <c r="B29">
        <v>2671</v>
      </c>
      <c r="C29" t="s">
        <v>21</v>
      </c>
      <c r="E29" s="6">
        <v>44838</v>
      </c>
      <c r="F29" t="s">
        <v>6</v>
      </c>
    </row>
    <row r="30" spans="1:6" x14ac:dyDescent="0.25">
      <c r="A30" t="s">
        <v>69</v>
      </c>
      <c r="B30">
        <v>1587</v>
      </c>
      <c r="C30" t="s">
        <v>22</v>
      </c>
      <c r="E30" s="6">
        <v>44838</v>
      </c>
      <c r="F30" t="s">
        <v>6</v>
      </c>
    </row>
    <row r="31" spans="1:6" x14ac:dyDescent="0.25">
      <c r="A31" t="s">
        <v>70</v>
      </c>
      <c r="B31">
        <v>470</v>
      </c>
      <c r="C31" t="s">
        <v>23</v>
      </c>
      <c r="E31" s="6">
        <v>44838</v>
      </c>
      <c r="F31" t="s">
        <v>8</v>
      </c>
    </row>
    <row r="32" spans="1:6" x14ac:dyDescent="0.25">
      <c r="A32" t="s">
        <v>71</v>
      </c>
      <c r="B32">
        <v>2651</v>
      </c>
      <c r="C32" t="s">
        <v>24</v>
      </c>
      <c r="E32" s="6">
        <v>44838</v>
      </c>
      <c r="F32" t="s">
        <v>8</v>
      </c>
    </row>
    <row r="33" spans="1:6" x14ac:dyDescent="0.25">
      <c r="A33" t="s">
        <v>72</v>
      </c>
      <c r="B33">
        <v>2514</v>
      </c>
      <c r="C33" t="s">
        <v>25</v>
      </c>
      <c r="E33" s="6">
        <v>44838</v>
      </c>
      <c r="F33" t="s">
        <v>8</v>
      </c>
    </row>
    <row r="34" spans="1:6" x14ac:dyDescent="0.25">
      <c r="A34" t="s">
        <v>73</v>
      </c>
      <c r="B34">
        <v>2228</v>
      </c>
      <c r="C34" t="s">
        <v>26</v>
      </c>
      <c r="E34" s="6">
        <v>44838</v>
      </c>
      <c r="F34" t="s">
        <v>8</v>
      </c>
    </row>
    <row r="35" spans="1:6" x14ac:dyDescent="0.25">
      <c r="A35" t="s">
        <v>74</v>
      </c>
      <c r="B35">
        <v>2636</v>
      </c>
      <c r="C35" t="s">
        <v>27</v>
      </c>
      <c r="E35" s="6">
        <v>44838</v>
      </c>
      <c r="F35" t="s">
        <v>8</v>
      </c>
    </row>
    <row r="36" spans="1:6" x14ac:dyDescent="0.25">
      <c r="A36" t="s">
        <v>75</v>
      </c>
      <c r="B36">
        <v>2738</v>
      </c>
      <c r="C36" t="s">
        <v>28</v>
      </c>
      <c r="E36" s="6">
        <v>44838</v>
      </c>
      <c r="F36" t="s">
        <v>8</v>
      </c>
    </row>
    <row r="37" spans="1:6" x14ac:dyDescent="0.25">
      <c r="A37" t="s">
        <v>76</v>
      </c>
      <c r="B37">
        <v>1085</v>
      </c>
      <c r="C37" t="s">
        <v>29</v>
      </c>
      <c r="E37" s="6">
        <v>44838</v>
      </c>
      <c r="F37" t="s">
        <v>6</v>
      </c>
    </row>
    <row r="38" spans="1:6" x14ac:dyDescent="0.25">
      <c r="A38" t="s">
        <v>77</v>
      </c>
      <c r="B38">
        <v>1749</v>
      </c>
      <c r="C38" t="s">
        <v>30</v>
      </c>
      <c r="E38" s="6">
        <v>44838</v>
      </c>
      <c r="F38" t="s">
        <v>6</v>
      </c>
    </row>
    <row r="39" spans="1:6" x14ac:dyDescent="0.25">
      <c r="A39" t="s">
        <v>78</v>
      </c>
      <c r="B39">
        <v>2257</v>
      </c>
      <c r="C39" t="s">
        <v>31</v>
      </c>
      <c r="E39" s="6">
        <v>44838</v>
      </c>
      <c r="F39" t="s">
        <v>6</v>
      </c>
    </row>
    <row r="40" spans="1:6" x14ac:dyDescent="0.25">
      <c r="A40" t="s">
        <v>79</v>
      </c>
      <c r="B40">
        <v>1231</v>
      </c>
      <c r="C40" t="s">
        <v>13</v>
      </c>
      <c r="E40" s="6">
        <v>44839</v>
      </c>
      <c r="F40" t="s">
        <v>7</v>
      </c>
    </row>
    <row r="41" spans="1:6" x14ac:dyDescent="0.25">
      <c r="A41" t="s">
        <v>80</v>
      </c>
      <c r="B41">
        <v>2394</v>
      </c>
      <c r="C41" t="s">
        <v>14</v>
      </c>
      <c r="E41" s="6">
        <v>44839</v>
      </c>
      <c r="F41" t="s">
        <v>7</v>
      </c>
    </row>
    <row r="42" spans="1:6" x14ac:dyDescent="0.25">
      <c r="A42" t="s">
        <v>81</v>
      </c>
      <c r="B42">
        <v>2768</v>
      </c>
      <c r="C42" t="s">
        <v>15</v>
      </c>
      <c r="E42" s="6">
        <v>44839</v>
      </c>
      <c r="F42" t="s">
        <v>9</v>
      </c>
    </row>
    <row r="43" spans="1:6" x14ac:dyDescent="0.25">
      <c r="A43" t="s">
        <v>82</v>
      </c>
      <c r="B43">
        <v>1187</v>
      </c>
      <c r="C43" t="s">
        <v>16</v>
      </c>
      <c r="E43" s="6">
        <v>44839</v>
      </c>
      <c r="F43" t="s">
        <v>9</v>
      </c>
    </row>
    <row r="44" spans="1:6" x14ac:dyDescent="0.25">
      <c r="A44" t="s">
        <v>83</v>
      </c>
      <c r="B44">
        <v>2694</v>
      </c>
      <c r="C44" t="s">
        <v>17</v>
      </c>
      <c r="E44" s="6">
        <v>44839</v>
      </c>
      <c r="F44" t="s">
        <v>7</v>
      </c>
    </row>
    <row r="45" spans="1:6" x14ac:dyDescent="0.25">
      <c r="A45" t="s">
        <v>84</v>
      </c>
      <c r="B45">
        <v>1897</v>
      </c>
      <c r="C45" t="s">
        <v>18</v>
      </c>
      <c r="E45" s="6">
        <v>44839</v>
      </c>
      <c r="F45" t="s">
        <v>7</v>
      </c>
    </row>
    <row r="46" spans="1:6" x14ac:dyDescent="0.25">
      <c r="A46" t="s">
        <v>85</v>
      </c>
      <c r="B46">
        <v>1096</v>
      </c>
      <c r="C46" t="s">
        <v>19</v>
      </c>
      <c r="E46" s="6">
        <v>44839</v>
      </c>
      <c r="F46" t="s">
        <v>6</v>
      </c>
    </row>
    <row r="47" spans="1:6" x14ac:dyDescent="0.25">
      <c r="A47" t="s">
        <v>86</v>
      </c>
      <c r="B47">
        <v>276</v>
      </c>
      <c r="C47" t="s">
        <v>20</v>
      </c>
      <c r="E47" s="6">
        <v>44839</v>
      </c>
      <c r="F47" t="s">
        <v>6</v>
      </c>
    </row>
    <row r="48" spans="1:6" x14ac:dyDescent="0.25">
      <c r="A48" t="s">
        <v>87</v>
      </c>
      <c r="B48">
        <v>2671</v>
      </c>
      <c r="C48" t="s">
        <v>21</v>
      </c>
      <c r="E48" s="6">
        <v>44839</v>
      </c>
      <c r="F48" t="s">
        <v>6</v>
      </c>
    </row>
    <row r="49" spans="1:6" x14ac:dyDescent="0.25">
      <c r="A49" t="s">
        <v>88</v>
      </c>
      <c r="B49">
        <v>1587</v>
      </c>
      <c r="C49" t="s">
        <v>22</v>
      </c>
      <c r="E49" s="6">
        <v>44839</v>
      </c>
      <c r="F49" t="s">
        <v>6</v>
      </c>
    </row>
    <row r="50" spans="1:6" x14ac:dyDescent="0.25">
      <c r="A50" t="s">
        <v>89</v>
      </c>
      <c r="B50">
        <v>470</v>
      </c>
      <c r="C50" t="s">
        <v>23</v>
      </c>
      <c r="E50" s="6">
        <v>44839</v>
      </c>
      <c r="F50" t="s">
        <v>6</v>
      </c>
    </row>
    <row r="51" spans="1:6" x14ac:dyDescent="0.25">
      <c r="A51" t="s">
        <v>90</v>
      </c>
      <c r="B51">
        <v>2651</v>
      </c>
      <c r="C51" t="s">
        <v>24</v>
      </c>
      <c r="E51" s="6">
        <v>44839</v>
      </c>
      <c r="F51" t="s">
        <v>6</v>
      </c>
    </row>
    <row r="52" spans="1:6" x14ac:dyDescent="0.25">
      <c r="A52" t="s">
        <v>91</v>
      </c>
      <c r="B52">
        <v>2514</v>
      </c>
      <c r="C52" t="s">
        <v>25</v>
      </c>
      <c r="E52" s="6">
        <v>44839</v>
      </c>
      <c r="F52" t="s">
        <v>6</v>
      </c>
    </row>
    <row r="53" spans="1:6" x14ac:dyDescent="0.25">
      <c r="A53" t="s">
        <v>92</v>
      </c>
      <c r="B53">
        <v>2228</v>
      </c>
      <c r="C53" t="s">
        <v>26</v>
      </c>
      <c r="E53" s="6">
        <v>44839</v>
      </c>
      <c r="F53" t="s">
        <v>6</v>
      </c>
    </row>
    <row r="54" spans="1:6" x14ac:dyDescent="0.25">
      <c r="A54" t="s">
        <v>93</v>
      </c>
      <c r="B54">
        <v>2636</v>
      </c>
      <c r="C54" t="s">
        <v>27</v>
      </c>
      <c r="E54" s="6">
        <v>44839</v>
      </c>
      <c r="F54" t="s">
        <v>6</v>
      </c>
    </row>
    <row r="55" spans="1:6" x14ac:dyDescent="0.25">
      <c r="A55" t="s">
        <v>94</v>
      </c>
      <c r="B55">
        <v>2738</v>
      </c>
      <c r="C55" t="s">
        <v>28</v>
      </c>
      <c r="E55" s="6">
        <v>44839</v>
      </c>
      <c r="F55" t="s">
        <v>6</v>
      </c>
    </row>
    <row r="56" spans="1:6" x14ac:dyDescent="0.25">
      <c r="A56" t="s">
        <v>95</v>
      </c>
      <c r="B56">
        <v>1085</v>
      </c>
      <c r="C56" t="s">
        <v>29</v>
      </c>
      <c r="E56" s="6">
        <v>44839</v>
      </c>
      <c r="F56" t="s">
        <v>6</v>
      </c>
    </row>
    <row r="57" spans="1:6" x14ac:dyDescent="0.25">
      <c r="A57" t="s">
        <v>96</v>
      </c>
      <c r="B57">
        <v>1749</v>
      </c>
      <c r="C57" t="s">
        <v>30</v>
      </c>
      <c r="E57" s="6">
        <v>44839</v>
      </c>
      <c r="F57" t="s">
        <v>8</v>
      </c>
    </row>
    <row r="58" spans="1:6" x14ac:dyDescent="0.25">
      <c r="A58" t="s">
        <v>97</v>
      </c>
      <c r="B58">
        <v>2257</v>
      </c>
      <c r="C58" t="s">
        <v>31</v>
      </c>
      <c r="E58" s="6">
        <v>44839</v>
      </c>
      <c r="F58" t="s">
        <v>8</v>
      </c>
    </row>
    <row r="59" spans="1:6" x14ac:dyDescent="0.25">
      <c r="A59" t="s">
        <v>98</v>
      </c>
      <c r="B59">
        <v>1231</v>
      </c>
      <c r="C59" t="s">
        <v>13</v>
      </c>
      <c r="E59" s="6">
        <v>44840</v>
      </c>
      <c r="F59" t="s">
        <v>7</v>
      </c>
    </row>
    <row r="60" spans="1:6" x14ac:dyDescent="0.25">
      <c r="A60" t="s">
        <v>99</v>
      </c>
      <c r="B60">
        <v>2394</v>
      </c>
      <c r="C60" t="s">
        <v>14</v>
      </c>
      <c r="E60" s="6">
        <v>44840</v>
      </c>
      <c r="F60" t="s">
        <v>7</v>
      </c>
    </row>
    <row r="61" spans="1:6" x14ac:dyDescent="0.25">
      <c r="A61" t="s">
        <v>100</v>
      </c>
      <c r="B61">
        <v>2768</v>
      </c>
      <c r="C61" t="s">
        <v>15</v>
      </c>
      <c r="E61" s="6">
        <v>44840</v>
      </c>
      <c r="F61" t="s">
        <v>7</v>
      </c>
    </row>
    <row r="62" spans="1:6" x14ac:dyDescent="0.25">
      <c r="A62" t="s">
        <v>101</v>
      </c>
      <c r="B62">
        <v>1187</v>
      </c>
      <c r="C62" t="s">
        <v>16</v>
      </c>
      <c r="E62" s="6">
        <v>44840</v>
      </c>
      <c r="F62" t="s">
        <v>7</v>
      </c>
    </row>
    <row r="63" spans="1:6" x14ac:dyDescent="0.25">
      <c r="A63" t="s">
        <v>102</v>
      </c>
      <c r="B63">
        <v>2694</v>
      </c>
      <c r="C63" t="s">
        <v>17</v>
      </c>
      <c r="E63" s="6">
        <v>44840</v>
      </c>
      <c r="F63" t="s">
        <v>8</v>
      </c>
    </row>
    <row r="64" spans="1:6" x14ac:dyDescent="0.25">
      <c r="A64" t="s">
        <v>103</v>
      </c>
      <c r="B64">
        <v>1897</v>
      </c>
      <c r="C64" t="s">
        <v>18</v>
      </c>
      <c r="E64" s="6">
        <v>44840</v>
      </c>
      <c r="F64" t="s">
        <v>8</v>
      </c>
    </row>
    <row r="65" spans="1:6" x14ac:dyDescent="0.25">
      <c r="A65" t="s">
        <v>104</v>
      </c>
      <c r="B65">
        <v>1096</v>
      </c>
      <c r="C65" t="s">
        <v>19</v>
      </c>
      <c r="E65" s="6">
        <v>44840</v>
      </c>
      <c r="F65" t="s">
        <v>8</v>
      </c>
    </row>
    <row r="66" spans="1:6" x14ac:dyDescent="0.25">
      <c r="A66" t="s">
        <v>105</v>
      </c>
      <c r="B66">
        <v>276</v>
      </c>
      <c r="C66" t="s">
        <v>20</v>
      </c>
      <c r="E66" s="6">
        <v>44840</v>
      </c>
      <c r="F66" t="s">
        <v>8</v>
      </c>
    </row>
    <row r="67" spans="1:6" x14ac:dyDescent="0.25">
      <c r="A67" t="s">
        <v>106</v>
      </c>
      <c r="B67">
        <v>2671</v>
      </c>
      <c r="C67" t="s">
        <v>21</v>
      </c>
      <c r="E67" s="6">
        <v>44840</v>
      </c>
      <c r="F67" t="s">
        <v>6</v>
      </c>
    </row>
    <row r="68" spans="1:6" x14ac:dyDescent="0.25">
      <c r="A68" t="s">
        <v>107</v>
      </c>
      <c r="B68">
        <v>1587</v>
      </c>
      <c r="C68" t="s">
        <v>22</v>
      </c>
      <c r="E68" s="6">
        <v>44840</v>
      </c>
      <c r="F68" t="s">
        <v>6</v>
      </c>
    </row>
    <row r="69" spans="1:6" x14ac:dyDescent="0.25">
      <c r="A69" t="s">
        <v>108</v>
      </c>
      <c r="B69">
        <v>470</v>
      </c>
      <c r="C69" t="s">
        <v>23</v>
      </c>
      <c r="E69" s="6">
        <v>44840</v>
      </c>
      <c r="F69" t="s">
        <v>6</v>
      </c>
    </row>
    <row r="70" spans="1:6" x14ac:dyDescent="0.25">
      <c r="A70" t="s">
        <v>109</v>
      </c>
      <c r="B70">
        <v>2651</v>
      </c>
      <c r="C70" t="s">
        <v>24</v>
      </c>
      <c r="E70" s="6">
        <v>44840</v>
      </c>
      <c r="F70" t="s">
        <v>6</v>
      </c>
    </row>
    <row r="71" spans="1:6" x14ac:dyDescent="0.25">
      <c r="A71" t="s">
        <v>110</v>
      </c>
      <c r="B71">
        <v>2514</v>
      </c>
      <c r="C71" t="s">
        <v>25</v>
      </c>
      <c r="E71" s="6">
        <v>44840</v>
      </c>
      <c r="F71" t="s">
        <v>6</v>
      </c>
    </row>
    <row r="72" spans="1:6" x14ac:dyDescent="0.25">
      <c r="A72" t="s">
        <v>111</v>
      </c>
      <c r="B72">
        <v>2228</v>
      </c>
      <c r="C72" t="s">
        <v>26</v>
      </c>
      <c r="E72" s="6">
        <v>44840</v>
      </c>
      <c r="F72" t="s">
        <v>6</v>
      </c>
    </row>
    <row r="73" spans="1:6" x14ac:dyDescent="0.25">
      <c r="A73" t="s">
        <v>112</v>
      </c>
      <c r="B73">
        <v>2636</v>
      </c>
      <c r="C73" t="s">
        <v>27</v>
      </c>
      <c r="E73" s="6">
        <v>44840</v>
      </c>
      <c r="F73" t="s">
        <v>6</v>
      </c>
    </row>
    <row r="74" spans="1:6" x14ac:dyDescent="0.25">
      <c r="A74" t="s">
        <v>113</v>
      </c>
      <c r="B74">
        <v>2738</v>
      </c>
      <c r="C74" t="s">
        <v>28</v>
      </c>
      <c r="E74" s="6">
        <v>44840</v>
      </c>
      <c r="F74" t="s">
        <v>6</v>
      </c>
    </row>
    <row r="75" spans="1:6" x14ac:dyDescent="0.25">
      <c r="A75" t="s">
        <v>114</v>
      </c>
      <c r="B75">
        <v>1085</v>
      </c>
      <c r="C75" t="s">
        <v>29</v>
      </c>
      <c r="E75" s="6">
        <v>44840</v>
      </c>
      <c r="F75" t="s">
        <v>9</v>
      </c>
    </row>
    <row r="76" spans="1:6" x14ac:dyDescent="0.25">
      <c r="A76" t="s">
        <v>115</v>
      </c>
      <c r="B76">
        <v>1749</v>
      </c>
      <c r="C76" t="s">
        <v>30</v>
      </c>
      <c r="E76" s="6">
        <v>44840</v>
      </c>
      <c r="F76" t="s">
        <v>9</v>
      </c>
    </row>
    <row r="77" spans="1:6" x14ac:dyDescent="0.25">
      <c r="A77" t="s">
        <v>116</v>
      </c>
      <c r="B77">
        <v>2257</v>
      </c>
      <c r="C77" t="s">
        <v>31</v>
      </c>
      <c r="E77" s="6">
        <v>44840</v>
      </c>
      <c r="F77" t="s">
        <v>8</v>
      </c>
    </row>
    <row r="78" spans="1:6" x14ac:dyDescent="0.25">
      <c r="A78" t="s">
        <v>117</v>
      </c>
      <c r="B78">
        <v>1231</v>
      </c>
      <c r="C78" t="s">
        <v>13</v>
      </c>
      <c r="E78" s="6">
        <v>44841</v>
      </c>
      <c r="F78" t="s">
        <v>7</v>
      </c>
    </row>
    <row r="79" spans="1:6" x14ac:dyDescent="0.25">
      <c r="A79" t="s">
        <v>118</v>
      </c>
      <c r="B79">
        <v>2394</v>
      </c>
      <c r="C79" t="s">
        <v>14</v>
      </c>
      <c r="E79" s="6">
        <v>44841</v>
      </c>
      <c r="F79" t="s">
        <v>6</v>
      </c>
    </row>
    <row r="80" spans="1:6" x14ac:dyDescent="0.25">
      <c r="A80" t="s">
        <v>119</v>
      </c>
      <c r="B80">
        <v>2768</v>
      </c>
      <c r="C80" t="s">
        <v>15</v>
      </c>
      <c r="E80" s="6">
        <v>44841</v>
      </c>
      <c r="F80" t="s">
        <v>6</v>
      </c>
    </row>
    <row r="81" spans="1:6" x14ac:dyDescent="0.25">
      <c r="A81" t="s">
        <v>120</v>
      </c>
      <c r="B81">
        <v>1187</v>
      </c>
      <c r="C81" t="s">
        <v>16</v>
      </c>
      <c r="E81" s="6">
        <v>44841</v>
      </c>
      <c r="F81" t="s">
        <v>6</v>
      </c>
    </row>
    <row r="82" spans="1:6" x14ac:dyDescent="0.25">
      <c r="A82" t="s">
        <v>121</v>
      </c>
      <c r="B82">
        <v>2694</v>
      </c>
      <c r="C82" t="s">
        <v>17</v>
      </c>
      <c r="E82" s="6">
        <v>44841</v>
      </c>
      <c r="F82" t="s">
        <v>6</v>
      </c>
    </row>
    <row r="83" spans="1:6" x14ac:dyDescent="0.25">
      <c r="A83" t="s">
        <v>122</v>
      </c>
      <c r="B83">
        <v>1897</v>
      </c>
      <c r="C83" t="s">
        <v>18</v>
      </c>
      <c r="E83" s="6">
        <v>44841</v>
      </c>
      <c r="F83" t="s">
        <v>6</v>
      </c>
    </row>
    <row r="84" spans="1:6" x14ac:dyDescent="0.25">
      <c r="A84" t="s">
        <v>123</v>
      </c>
      <c r="B84">
        <v>1096</v>
      </c>
      <c r="C84" t="s">
        <v>19</v>
      </c>
      <c r="E84" s="6">
        <v>44841</v>
      </c>
      <c r="F84" t="s">
        <v>6</v>
      </c>
    </row>
    <row r="85" spans="1:6" x14ac:dyDescent="0.25">
      <c r="A85" t="s">
        <v>124</v>
      </c>
      <c r="B85">
        <v>276</v>
      </c>
      <c r="C85" t="s">
        <v>20</v>
      </c>
      <c r="E85" s="6">
        <v>44841</v>
      </c>
      <c r="F85" t="s">
        <v>6</v>
      </c>
    </row>
    <row r="86" spans="1:6" x14ac:dyDescent="0.25">
      <c r="A86" t="s">
        <v>125</v>
      </c>
      <c r="B86">
        <v>2671</v>
      </c>
      <c r="C86" t="s">
        <v>21</v>
      </c>
      <c r="E86" s="6">
        <v>44841</v>
      </c>
      <c r="F86" t="s">
        <v>6</v>
      </c>
    </row>
    <row r="87" spans="1:6" x14ac:dyDescent="0.25">
      <c r="A87" t="s">
        <v>126</v>
      </c>
      <c r="B87">
        <v>1587</v>
      </c>
      <c r="C87" t="s">
        <v>22</v>
      </c>
      <c r="E87" s="6">
        <v>44841</v>
      </c>
      <c r="F87" t="s">
        <v>6</v>
      </c>
    </row>
    <row r="88" spans="1:6" x14ac:dyDescent="0.25">
      <c r="A88" t="s">
        <v>127</v>
      </c>
      <c r="B88">
        <v>470</v>
      </c>
      <c r="C88" t="s">
        <v>23</v>
      </c>
      <c r="E88" s="6">
        <v>44841</v>
      </c>
      <c r="F88" t="s">
        <v>6</v>
      </c>
    </row>
    <row r="89" spans="1:6" x14ac:dyDescent="0.25">
      <c r="A89" t="s">
        <v>128</v>
      </c>
      <c r="B89">
        <v>2651</v>
      </c>
      <c r="C89" t="s">
        <v>24</v>
      </c>
      <c r="E89" s="6">
        <v>44841</v>
      </c>
      <c r="F89" t="s">
        <v>6</v>
      </c>
    </row>
    <row r="90" spans="1:6" x14ac:dyDescent="0.25">
      <c r="A90" t="s">
        <v>129</v>
      </c>
      <c r="B90">
        <v>2514</v>
      </c>
      <c r="C90" t="s">
        <v>25</v>
      </c>
      <c r="E90" s="6">
        <v>44841</v>
      </c>
      <c r="F90" t="s">
        <v>6</v>
      </c>
    </row>
    <row r="91" spans="1:6" x14ac:dyDescent="0.25">
      <c r="A91" t="s">
        <v>130</v>
      </c>
      <c r="B91">
        <v>2228</v>
      </c>
      <c r="C91" t="s">
        <v>26</v>
      </c>
      <c r="E91" s="6">
        <v>44841</v>
      </c>
      <c r="F91" t="s">
        <v>6</v>
      </c>
    </row>
    <row r="92" spans="1:6" x14ac:dyDescent="0.25">
      <c r="A92" t="s">
        <v>131</v>
      </c>
      <c r="B92">
        <v>2636</v>
      </c>
      <c r="C92" t="s">
        <v>27</v>
      </c>
      <c r="E92" s="6">
        <v>44841</v>
      </c>
      <c r="F92" t="s">
        <v>6</v>
      </c>
    </row>
    <row r="93" spans="1:6" x14ac:dyDescent="0.25">
      <c r="A93" t="s">
        <v>132</v>
      </c>
      <c r="B93">
        <v>2738</v>
      </c>
      <c r="C93" t="s">
        <v>28</v>
      </c>
      <c r="E93" s="6">
        <v>44841</v>
      </c>
      <c r="F93" t="s">
        <v>6</v>
      </c>
    </row>
    <row r="94" spans="1:6" x14ac:dyDescent="0.25">
      <c r="A94" t="s">
        <v>133</v>
      </c>
      <c r="B94">
        <v>1085</v>
      </c>
      <c r="C94" t="s">
        <v>29</v>
      </c>
      <c r="E94" s="6">
        <v>44841</v>
      </c>
      <c r="F94" t="s">
        <v>6</v>
      </c>
    </row>
    <row r="95" spans="1:6" x14ac:dyDescent="0.25">
      <c r="A95" t="s">
        <v>134</v>
      </c>
      <c r="B95">
        <v>1749</v>
      </c>
      <c r="C95" t="s">
        <v>30</v>
      </c>
      <c r="E95" s="6">
        <v>44841</v>
      </c>
      <c r="F95" t="s">
        <v>6</v>
      </c>
    </row>
    <row r="96" spans="1:6" x14ac:dyDescent="0.25">
      <c r="A96" t="s">
        <v>135</v>
      </c>
      <c r="B96">
        <v>2257</v>
      </c>
      <c r="C96" t="s">
        <v>31</v>
      </c>
      <c r="E96" s="6">
        <v>44841</v>
      </c>
      <c r="F96" t="s">
        <v>6</v>
      </c>
    </row>
    <row r="97" spans="1:6" x14ac:dyDescent="0.25">
      <c r="A97" t="s">
        <v>137</v>
      </c>
      <c r="B97">
        <v>1231</v>
      </c>
      <c r="C97" t="s">
        <v>13</v>
      </c>
      <c r="E97" s="6">
        <v>44842</v>
      </c>
      <c r="F97" t="s">
        <v>7</v>
      </c>
    </row>
    <row r="98" spans="1:6" x14ac:dyDescent="0.25">
      <c r="A98" t="s">
        <v>138</v>
      </c>
      <c r="B98">
        <v>2394</v>
      </c>
      <c r="C98" t="s">
        <v>14</v>
      </c>
      <c r="E98" s="6">
        <v>44842</v>
      </c>
      <c r="F98" t="s">
        <v>136</v>
      </c>
    </row>
    <row r="99" spans="1:6" x14ac:dyDescent="0.25">
      <c r="A99" t="s">
        <v>139</v>
      </c>
      <c r="B99">
        <v>2768</v>
      </c>
      <c r="C99" t="s">
        <v>15</v>
      </c>
      <c r="E99" s="6">
        <v>44842</v>
      </c>
      <c r="F99" t="s">
        <v>136</v>
      </c>
    </row>
    <row r="100" spans="1:6" x14ac:dyDescent="0.25">
      <c r="A100" t="s">
        <v>140</v>
      </c>
      <c r="B100">
        <v>1187</v>
      </c>
      <c r="C100" t="s">
        <v>16</v>
      </c>
      <c r="E100" s="6">
        <v>44842</v>
      </c>
      <c r="F100" t="s">
        <v>136</v>
      </c>
    </row>
    <row r="101" spans="1:6" x14ac:dyDescent="0.25">
      <c r="A101" t="s">
        <v>141</v>
      </c>
      <c r="B101">
        <v>2694</v>
      </c>
      <c r="C101" t="s">
        <v>17</v>
      </c>
      <c r="E101" s="6">
        <v>44842</v>
      </c>
      <c r="F101" t="s">
        <v>136</v>
      </c>
    </row>
    <row r="102" spans="1:6" x14ac:dyDescent="0.25">
      <c r="A102" t="s">
        <v>142</v>
      </c>
      <c r="B102">
        <v>1897</v>
      </c>
      <c r="C102" t="s">
        <v>18</v>
      </c>
      <c r="E102" s="6">
        <v>44842</v>
      </c>
      <c r="F102" t="s">
        <v>136</v>
      </c>
    </row>
    <row r="103" spans="1:6" x14ac:dyDescent="0.25">
      <c r="A103" t="s">
        <v>143</v>
      </c>
      <c r="B103">
        <v>1096</v>
      </c>
      <c r="C103" t="s">
        <v>19</v>
      </c>
      <c r="E103" s="6">
        <v>44842</v>
      </c>
      <c r="F103" t="s">
        <v>136</v>
      </c>
    </row>
    <row r="104" spans="1:6" x14ac:dyDescent="0.25">
      <c r="A104" t="s">
        <v>144</v>
      </c>
      <c r="B104">
        <v>276</v>
      </c>
      <c r="C104" t="s">
        <v>20</v>
      </c>
      <c r="E104" s="6">
        <v>44842</v>
      </c>
      <c r="F104" t="s">
        <v>136</v>
      </c>
    </row>
    <row r="105" spans="1:6" x14ac:dyDescent="0.25">
      <c r="A105" t="s">
        <v>145</v>
      </c>
      <c r="B105">
        <v>2671</v>
      </c>
      <c r="C105" t="s">
        <v>21</v>
      </c>
      <c r="E105" s="6">
        <v>44842</v>
      </c>
      <c r="F105" t="s">
        <v>136</v>
      </c>
    </row>
    <row r="106" spans="1:6" x14ac:dyDescent="0.25">
      <c r="A106" t="s">
        <v>146</v>
      </c>
      <c r="B106">
        <v>1587</v>
      </c>
      <c r="C106" t="s">
        <v>22</v>
      </c>
      <c r="E106" s="6">
        <v>44842</v>
      </c>
      <c r="F106" t="s">
        <v>136</v>
      </c>
    </row>
    <row r="107" spans="1:6" x14ac:dyDescent="0.25">
      <c r="A107" t="s">
        <v>147</v>
      </c>
      <c r="B107">
        <v>470</v>
      </c>
      <c r="C107" t="s">
        <v>23</v>
      </c>
      <c r="E107" s="6">
        <v>44842</v>
      </c>
      <c r="F107" t="s">
        <v>136</v>
      </c>
    </row>
    <row r="108" spans="1:6" x14ac:dyDescent="0.25">
      <c r="A108" t="s">
        <v>148</v>
      </c>
      <c r="B108">
        <v>2651</v>
      </c>
      <c r="C108" t="s">
        <v>24</v>
      </c>
      <c r="E108" s="6">
        <v>44842</v>
      </c>
      <c r="F108" t="s">
        <v>136</v>
      </c>
    </row>
    <row r="109" spans="1:6" x14ac:dyDescent="0.25">
      <c r="A109" t="s">
        <v>149</v>
      </c>
      <c r="B109">
        <v>2514</v>
      </c>
      <c r="C109" t="s">
        <v>25</v>
      </c>
      <c r="E109" s="6">
        <v>44842</v>
      </c>
      <c r="F109" t="s">
        <v>136</v>
      </c>
    </row>
    <row r="110" spans="1:6" x14ac:dyDescent="0.25">
      <c r="A110" t="s">
        <v>150</v>
      </c>
      <c r="B110">
        <v>2228</v>
      </c>
      <c r="C110" t="s">
        <v>26</v>
      </c>
      <c r="E110" s="6">
        <v>44842</v>
      </c>
      <c r="F110" t="s">
        <v>136</v>
      </c>
    </row>
    <row r="111" spans="1:6" x14ac:dyDescent="0.25">
      <c r="A111" t="s">
        <v>151</v>
      </c>
      <c r="B111">
        <v>2636</v>
      </c>
      <c r="C111" t="s">
        <v>27</v>
      </c>
      <c r="E111" s="6">
        <v>44842</v>
      </c>
      <c r="F111" t="s">
        <v>136</v>
      </c>
    </row>
    <row r="112" spans="1:6" x14ac:dyDescent="0.25">
      <c r="A112" t="s">
        <v>152</v>
      </c>
      <c r="B112">
        <v>2738</v>
      </c>
      <c r="C112" t="s">
        <v>28</v>
      </c>
      <c r="E112" s="6">
        <v>44842</v>
      </c>
      <c r="F112" t="s">
        <v>136</v>
      </c>
    </row>
    <row r="113" spans="1:6" x14ac:dyDescent="0.25">
      <c r="A113" t="s">
        <v>153</v>
      </c>
      <c r="B113">
        <v>1085</v>
      </c>
      <c r="C113" t="s">
        <v>29</v>
      </c>
      <c r="E113" s="6">
        <v>44842</v>
      </c>
      <c r="F113" t="s">
        <v>136</v>
      </c>
    </row>
    <row r="114" spans="1:6" x14ac:dyDescent="0.25">
      <c r="A114" t="s">
        <v>154</v>
      </c>
      <c r="B114">
        <v>1749</v>
      </c>
      <c r="C114" t="s">
        <v>30</v>
      </c>
      <c r="E114" s="6">
        <v>44842</v>
      </c>
      <c r="F114" t="s">
        <v>136</v>
      </c>
    </row>
    <row r="115" spans="1:6" x14ac:dyDescent="0.25">
      <c r="A115" t="s">
        <v>155</v>
      </c>
      <c r="B115">
        <v>2257</v>
      </c>
      <c r="C115" t="s">
        <v>31</v>
      </c>
      <c r="E115" s="6">
        <v>44842</v>
      </c>
      <c r="F115" t="s">
        <v>136</v>
      </c>
    </row>
    <row r="116" spans="1:6" x14ac:dyDescent="0.25">
      <c r="E116"/>
    </row>
    <row r="117" spans="1:6" x14ac:dyDescent="0.25">
      <c r="E117"/>
    </row>
    <row r="118" spans="1:6" x14ac:dyDescent="0.25">
      <c r="E118"/>
    </row>
    <row r="119" spans="1:6" x14ac:dyDescent="0.25">
      <c r="E119"/>
    </row>
    <row r="120" spans="1:6" x14ac:dyDescent="0.25">
      <c r="E120"/>
    </row>
    <row r="121" spans="1:6" x14ac:dyDescent="0.25">
      <c r="E121"/>
    </row>
    <row r="122" spans="1:6" x14ac:dyDescent="0.25">
      <c r="E122"/>
    </row>
    <row r="123" spans="1:6" x14ac:dyDescent="0.25">
      <c r="E123"/>
    </row>
    <row r="124" spans="1:6" x14ac:dyDescent="0.25">
      <c r="E124"/>
    </row>
    <row r="125" spans="1:6" x14ac:dyDescent="0.25">
      <c r="E125"/>
    </row>
    <row r="126" spans="1:6" x14ac:dyDescent="0.25">
      <c r="E126"/>
    </row>
    <row r="127" spans="1:6" x14ac:dyDescent="0.25">
      <c r="E127"/>
    </row>
    <row r="128" spans="1:6" x14ac:dyDescent="0.25">
      <c r="E128"/>
    </row>
    <row r="129" spans="5:5" x14ac:dyDescent="0.25">
      <c r="E129"/>
    </row>
    <row r="130" spans="5:5" x14ac:dyDescent="0.25">
      <c r="E130"/>
    </row>
    <row r="131" spans="5:5" x14ac:dyDescent="0.25">
      <c r="E131"/>
    </row>
    <row r="132" spans="5:5" x14ac:dyDescent="0.25">
      <c r="E132"/>
    </row>
    <row r="133" spans="5:5" x14ac:dyDescent="0.25">
      <c r="E133"/>
    </row>
    <row r="134" spans="5:5" x14ac:dyDescent="0.25">
      <c r="E134"/>
    </row>
    <row r="135" spans="5:5" x14ac:dyDescent="0.25">
      <c r="E135"/>
    </row>
    <row r="136" spans="5:5" x14ac:dyDescent="0.25">
      <c r="E136"/>
    </row>
    <row r="137" spans="5:5" x14ac:dyDescent="0.25">
      <c r="E137"/>
    </row>
    <row r="138" spans="5:5" x14ac:dyDescent="0.25">
      <c r="E138"/>
    </row>
    <row r="139" spans="5:5" x14ac:dyDescent="0.25">
      <c r="E139"/>
    </row>
    <row r="140" spans="5:5" x14ac:dyDescent="0.25">
      <c r="E140"/>
    </row>
    <row r="141" spans="5:5" x14ac:dyDescent="0.25">
      <c r="E141"/>
    </row>
    <row r="142" spans="5:5" x14ac:dyDescent="0.25">
      <c r="E142"/>
    </row>
    <row r="143" spans="5:5" x14ac:dyDescent="0.25">
      <c r="E143"/>
    </row>
    <row r="144" spans="5:5" x14ac:dyDescent="0.25">
      <c r="E144"/>
    </row>
    <row r="145" spans="5:5" x14ac:dyDescent="0.25">
      <c r="E145"/>
    </row>
    <row r="146" spans="5:5" x14ac:dyDescent="0.25">
      <c r="E146"/>
    </row>
    <row r="147" spans="5:5" x14ac:dyDescent="0.25">
      <c r="E147"/>
    </row>
    <row r="148" spans="5:5" x14ac:dyDescent="0.25">
      <c r="E148"/>
    </row>
    <row r="149" spans="5:5" x14ac:dyDescent="0.25">
      <c r="E149"/>
    </row>
    <row r="150" spans="5:5" x14ac:dyDescent="0.25">
      <c r="E150"/>
    </row>
    <row r="151" spans="5:5" x14ac:dyDescent="0.25">
      <c r="E151"/>
    </row>
    <row r="152" spans="5:5" x14ac:dyDescent="0.25">
      <c r="E152"/>
    </row>
    <row r="153" spans="5:5" x14ac:dyDescent="0.25">
      <c r="E153"/>
    </row>
    <row r="154" spans="5:5" x14ac:dyDescent="0.25">
      <c r="E154"/>
    </row>
    <row r="155" spans="5:5" x14ac:dyDescent="0.25">
      <c r="E155"/>
    </row>
    <row r="156" spans="5:5" x14ac:dyDescent="0.25">
      <c r="E156"/>
    </row>
    <row r="157" spans="5:5" x14ac:dyDescent="0.25">
      <c r="E157"/>
    </row>
    <row r="158" spans="5:5" x14ac:dyDescent="0.25">
      <c r="E158"/>
    </row>
    <row r="159" spans="5:5" x14ac:dyDescent="0.25">
      <c r="E159"/>
    </row>
    <row r="160" spans="5:5" x14ac:dyDescent="0.25">
      <c r="E160"/>
    </row>
    <row r="161" spans="5:5" x14ac:dyDescent="0.25">
      <c r="E161"/>
    </row>
    <row r="162" spans="5:5" x14ac:dyDescent="0.25">
      <c r="E162"/>
    </row>
    <row r="163" spans="5:5" x14ac:dyDescent="0.25">
      <c r="E163"/>
    </row>
    <row r="164" spans="5:5" x14ac:dyDescent="0.25">
      <c r="E164"/>
    </row>
    <row r="165" spans="5:5" x14ac:dyDescent="0.25">
      <c r="E165"/>
    </row>
    <row r="166" spans="5:5" x14ac:dyDescent="0.25">
      <c r="E166"/>
    </row>
    <row r="167" spans="5:5" x14ac:dyDescent="0.25">
      <c r="E167"/>
    </row>
    <row r="168" spans="5:5" x14ac:dyDescent="0.25">
      <c r="E168"/>
    </row>
    <row r="169" spans="5:5" x14ac:dyDescent="0.25">
      <c r="E169"/>
    </row>
    <row r="170" spans="5:5" x14ac:dyDescent="0.25">
      <c r="E170"/>
    </row>
    <row r="171" spans="5:5" x14ac:dyDescent="0.25">
      <c r="E171"/>
    </row>
    <row r="172" spans="5:5" x14ac:dyDescent="0.25">
      <c r="E172"/>
    </row>
    <row r="173" spans="5:5" x14ac:dyDescent="0.25">
      <c r="E173"/>
    </row>
    <row r="174" spans="5:5" x14ac:dyDescent="0.25">
      <c r="E174"/>
    </row>
    <row r="175" spans="5:5" x14ac:dyDescent="0.25">
      <c r="E175"/>
    </row>
    <row r="176" spans="5:5" x14ac:dyDescent="0.25">
      <c r="E176"/>
    </row>
    <row r="177" spans="5:5" x14ac:dyDescent="0.25">
      <c r="E177"/>
    </row>
    <row r="178" spans="5:5" x14ac:dyDescent="0.25">
      <c r="E178"/>
    </row>
    <row r="179" spans="5:5" x14ac:dyDescent="0.25">
      <c r="E179"/>
    </row>
    <row r="180" spans="5:5" x14ac:dyDescent="0.25">
      <c r="E180"/>
    </row>
    <row r="181" spans="5:5" x14ac:dyDescent="0.25">
      <c r="E181"/>
    </row>
    <row r="182" spans="5:5" x14ac:dyDescent="0.25">
      <c r="E182"/>
    </row>
    <row r="183" spans="5:5" x14ac:dyDescent="0.25">
      <c r="E183"/>
    </row>
    <row r="184" spans="5:5" x14ac:dyDescent="0.25">
      <c r="E184"/>
    </row>
    <row r="185" spans="5:5" x14ac:dyDescent="0.25">
      <c r="E185"/>
    </row>
    <row r="186" spans="5:5" x14ac:dyDescent="0.25">
      <c r="E186"/>
    </row>
    <row r="187" spans="5:5" x14ac:dyDescent="0.25">
      <c r="E187"/>
    </row>
    <row r="188" spans="5:5" x14ac:dyDescent="0.25">
      <c r="E188"/>
    </row>
    <row r="189" spans="5:5" x14ac:dyDescent="0.25">
      <c r="E189"/>
    </row>
    <row r="190" spans="5:5" x14ac:dyDescent="0.25">
      <c r="E19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tabSelected="1" workbookViewId="0">
      <selection activeCell="F18" sqref="F18"/>
    </sheetView>
  </sheetViews>
  <sheetFormatPr defaultRowHeight="15" x14ac:dyDescent="0.25"/>
  <cols>
    <col min="1" max="1" width="18.140625" style="1" customWidth="1"/>
    <col min="3" max="3" width="15.28515625" customWidth="1"/>
    <col min="5" max="5" width="11.28515625" customWidth="1"/>
    <col min="6" max="6" width="16" customWidth="1"/>
  </cols>
  <sheetData>
    <row r="1" spans="1:6" x14ac:dyDescent="0.25">
      <c r="A1" s="1" t="s">
        <v>0</v>
      </c>
      <c r="C1" s="1" t="s">
        <v>1</v>
      </c>
      <c r="E1" s="1" t="s">
        <v>2</v>
      </c>
      <c r="F1" s="1" t="s">
        <v>5</v>
      </c>
    </row>
    <row r="2" spans="1:6" x14ac:dyDescent="0.25">
      <c r="A2" s="1" t="s">
        <v>7</v>
      </c>
      <c r="C2" s="2">
        <v>44835</v>
      </c>
      <c r="E2" t="s">
        <v>3</v>
      </c>
      <c r="F2" s="6">
        <v>44844</v>
      </c>
    </row>
    <row r="3" spans="1:6" x14ac:dyDescent="0.25">
      <c r="A3" s="1" t="s">
        <v>6</v>
      </c>
      <c r="C3" s="2">
        <v>44866</v>
      </c>
      <c r="E3" t="s">
        <v>4</v>
      </c>
      <c r="F3" s="6">
        <v>44854</v>
      </c>
    </row>
    <row r="4" spans="1:6" x14ac:dyDescent="0.25">
      <c r="A4" s="1" t="s">
        <v>8</v>
      </c>
      <c r="C4" s="2">
        <v>44896</v>
      </c>
      <c r="F4" s="6">
        <v>44858</v>
      </c>
    </row>
    <row r="5" spans="1:6" x14ac:dyDescent="0.25">
      <c r="A5" s="1" t="s">
        <v>9</v>
      </c>
      <c r="F5" s="6">
        <v>44907</v>
      </c>
    </row>
    <row r="6" spans="1:6" x14ac:dyDescent="0.25">
      <c r="F6" s="6">
        <v>44919</v>
      </c>
    </row>
    <row r="7" spans="1:6" x14ac:dyDescent="0.25">
      <c r="F7" s="6">
        <v>44921</v>
      </c>
    </row>
    <row r="8" spans="1:6" x14ac:dyDescent="0.25">
      <c r="F8" s="6">
        <v>44922</v>
      </c>
    </row>
    <row r="9" spans="1:6" x14ac:dyDescent="0.25">
      <c r="F9" s="6">
        <v>44926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L92"/>
  <sheetViews>
    <sheetView showGridLines="0" showRowColHeaders="0" workbookViewId="0">
      <selection activeCell="C4" sqref="C4"/>
    </sheetView>
  </sheetViews>
  <sheetFormatPr defaultRowHeight="15" x14ac:dyDescent="0.25"/>
  <cols>
    <col min="2" max="2" width="18.5703125" customWidth="1"/>
    <col min="3" max="3" width="16.28515625" customWidth="1"/>
    <col min="4" max="4" width="12" customWidth="1"/>
    <col min="5" max="5" width="12.140625" customWidth="1"/>
    <col min="6" max="6" width="9.85546875" customWidth="1"/>
    <col min="7" max="7" width="16" customWidth="1"/>
    <col min="8" max="8" width="8.42578125" bestFit="1" customWidth="1"/>
    <col min="9" max="38" width="3" bestFit="1" customWidth="1"/>
  </cols>
  <sheetData>
    <row r="2" spans="1:38" ht="15" customHeight="1" x14ac:dyDescent="0.25">
      <c r="F2" s="42">
        <f>SUM(D8:D26)</f>
        <v>67</v>
      </c>
      <c r="G2" s="42"/>
      <c r="I2" s="40">
        <f>SUM(E8:E26)</f>
        <v>29</v>
      </c>
      <c r="J2" s="40"/>
      <c r="K2" s="40"/>
      <c r="L2" s="40"/>
      <c r="M2" s="40"/>
      <c r="N2" s="40"/>
      <c r="O2" s="40"/>
      <c r="Q2" s="45">
        <f>SUM(F8:F26)</f>
        <v>14</v>
      </c>
      <c r="R2" s="45"/>
      <c r="S2" s="45"/>
      <c r="T2" s="45"/>
      <c r="U2" s="45"/>
      <c r="V2" s="45"/>
      <c r="W2" s="45"/>
      <c r="Z2" s="43">
        <f>SUM(G8:G26)</f>
        <v>4</v>
      </c>
      <c r="AA2" s="43"/>
      <c r="AB2" s="43"/>
      <c r="AC2" s="43"/>
      <c r="AD2" s="43"/>
      <c r="AE2" s="43"/>
      <c r="AF2" s="43"/>
      <c r="AG2" s="43"/>
    </row>
    <row r="3" spans="1:38" ht="18" customHeight="1" x14ac:dyDescent="0.25">
      <c r="F3" s="42"/>
      <c r="G3" s="42"/>
      <c r="I3" s="40"/>
      <c r="J3" s="40"/>
      <c r="K3" s="40"/>
      <c r="L3" s="40"/>
      <c r="M3" s="40"/>
      <c r="N3" s="40"/>
      <c r="O3" s="40"/>
      <c r="Q3" s="45"/>
      <c r="R3" s="45"/>
      <c r="S3" s="45"/>
      <c r="T3" s="45"/>
      <c r="U3" s="45"/>
      <c r="V3" s="45"/>
      <c r="W3" s="45"/>
      <c r="Z3" s="43"/>
      <c r="AA3" s="43"/>
      <c r="AB3" s="43"/>
      <c r="AC3" s="43"/>
      <c r="AD3" s="43"/>
      <c r="AE3" s="43"/>
      <c r="AF3" s="43"/>
      <c r="AG3" s="43"/>
    </row>
    <row r="4" spans="1:38" ht="14.25" customHeight="1" x14ac:dyDescent="0.3">
      <c r="B4" s="37" t="s">
        <v>40</v>
      </c>
      <c r="C4" s="38">
        <v>44835</v>
      </c>
      <c r="D4" s="39"/>
      <c r="F4" s="42"/>
      <c r="G4" s="42"/>
      <c r="I4" s="40"/>
      <c r="J4" s="40"/>
      <c r="K4" s="40"/>
      <c r="L4" s="40"/>
      <c r="M4" s="40"/>
      <c r="N4" s="40"/>
      <c r="O4" s="40"/>
      <c r="Q4" s="45"/>
      <c r="R4" s="45"/>
      <c r="S4" s="45"/>
      <c r="T4" s="45"/>
      <c r="U4" s="45"/>
      <c r="V4" s="45"/>
      <c r="W4" s="45"/>
      <c r="Z4" s="43"/>
      <c r="AA4" s="43"/>
      <c r="AB4" s="43"/>
      <c r="AC4" s="43"/>
      <c r="AD4" s="43"/>
      <c r="AE4" s="43"/>
      <c r="AF4" s="43"/>
      <c r="AG4" s="43"/>
    </row>
    <row r="5" spans="1:38" ht="15.75" x14ac:dyDescent="0.25">
      <c r="F5" s="41" t="s">
        <v>36</v>
      </c>
      <c r="G5" s="41"/>
      <c r="I5" s="44" t="s">
        <v>37</v>
      </c>
      <c r="J5" s="44"/>
      <c r="K5" s="44"/>
      <c r="L5" s="44"/>
      <c r="M5" s="44"/>
      <c r="N5" s="44"/>
      <c r="O5" s="44"/>
      <c r="Q5" s="44" t="s">
        <v>38</v>
      </c>
      <c r="R5" s="44"/>
      <c r="S5" s="44"/>
      <c r="T5" s="44"/>
      <c r="U5" s="44"/>
      <c r="V5" s="44"/>
      <c r="W5" s="44"/>
      <c r="Z5" s="44" t="s">
        <v>39</v>
      </c>
      <c r="AA5" s="44"/>
      <c r="AB5" s="44"/>
      <c r="AC5" s="44"/>
      <c r="AD5" s="44"/>
      <c r="AE5" s="44"/>
      <c r="AF5" s="44"/>
      <c r="AG5" s="44"/>
    </row>
    <row r="7" spans="1:38" ht="15.75" x14ac:dyDescent="0.25">
      <c r="A7" s="8" t="s">
        <v>11</v>
      </c>
      <c r="B7" s="19" t="s">
        <v>33</v>
      </c>
      <c r="C7" s="19" t="s">
        <v>12</v>
      </c>
      <c r="D7" s="20" t="s">
        <v>36</v>
      </c>
      <c r="E7" s="20" t="s">
        <v>37</v>
      </c>
      <c r="F7" s="20" t="s">
        <v>38</v>
      </c>
      <c r="G7" s="20" t="s">
        <v>39</v>
      </c>
      <c r="H7" s="21">
        <f>C4</f>
        <v>44835</v>
      </c>
      <c r="I7" s="21">
        <f>H7+1</f>
        <v>44836</v>
      </c>
      <c r="J7" s="21">
        <f>I7+1</f>
        <v>44837</v>
      </c>
      <c r="K7" s="21">
        <f t="shared" ref="K7:AK7" si="0">J7+1</f>
        <v>44838</v>
      </c>
      <c r="L7" s="21">
        <f>K7+1</f>
        <v>44839</v>
      </c>
      <c r="M7" s="21">
        <f t="shared" si="0"/>
        <v>44840</v>
      </c>
      <c r="N7" s="21">
        <f>M7+1</f>
        <v>44841</v>
      </c>
      <c r="O7" s="21">
        <f t="shared" si="0"/>
        <v>44842</v>
      </c>
      <c r="P7" s="21">
        <f t="shared" si="0"/>
        <v>44843</v>
      </c>
      <c r="Q7" s="21">
        <f t="shared" si="0"/>
        <v>44844</v>
      </c>
      <c r="R7" s="21">
        <f t="shared" si="0"/>
        <v>44845</v>
      </c>
      <c r="S7" s="21">
        <f t="shared" si="0"/>
        <v>44846</v>
      </c>
      <c r="T7" s="21">
        <f t="shared" si="0"/>
        <v>44847</v>
      </c>
      <c r="U7" s="21">
        <f t="shared" si="0"/>
        <v>44848</v>
      </c>
      <c r="V7" s="21">
        <f t="shared" si="0"/>
        <v>44849</v>
      </c>
      <c r="W7" s="21">
        <f t="shared" si="0"/>
        <v>44850</v>
      </c>
      <c r="X7" s="21">
        <f t="shared" si="0"/>
        <v>44851</v>
      </c>
      <c r="Y7" s="21">
        <f t="shared" si="0"/>
        <v>44852</v>
      </c>
      <c r="Z7" s="21">
        <f t="shared" si="0"/>
        <v>44853</v>
      </c>
      <c r="AA7" s="21">
        <f t="shared" si="0"/>
        <v>44854</v>
      </c>
      <c r="AB7" s="21">
        <f t="shared" si="0"/>
        <v>44855</v>
      </c>
      <c r="AC7" s="21">
        <f t="shared" si="0"/>
        <v>44856</v>
      </c>
      <c r="AD7" s="21">
        <f t="shared" si="0"/>
        <v>44857</v>
      </c>
      <c r="AE7" s="21">
        <f t="shared" si="0"/>
        <v>44858</v>
      </c>
      <c r="AF7" s="21">
        <f t="shared" si="0"/>
        <v>44859</v>
      </c>
      <c r="AG7" s="21">
        <f t="shared" si="0"/>
        <v>44860</v>
      </c>
      <c r="AH7" s="21">
        <f t="shared" si="0"/>
        <v>44861</v>
      </c>
      <c r="AI7" s="21">
        <f t="shared" si="0"/>
        <v>44862</v>
      </c>
      <c r="AJ7" s="21">
        <f t="shared" si="0"/>
        <v>44863</v>
      </c>
      <c r="AK7" s="21">
        <f t="shared" si="0"/>
        <v>44864</v>
      </c>
      <c r="AL7" s="21">
        <f>IF(DAY(AK7+1)&lt;=3,"",AK7+1)</f>
        <v>44865</v>
      </c>
    </row>
    <row r="8" spans="1:38" x14ac:dyDescent="0.25">
      <c r="A8" s="34">
        <v>1231</v>
      </c>
      <c r="B8" s="22" t="str">
        <f>IF('Employee Master'!B2="","",'Employee Master'!B2)</f>
        <v>Ann Gatimu</v>
      </c>
      <c r="C8" s="22" t="str">
        <f>IF('Employee Master'!C2="","",'Employee Master'!C2)</f>
        <v/>
      </c>
      <c r="D8" s="22">
        <f>COUNTIF(H8:AL8,"p")</f>
        <v>1</v>
      </c>
      <c r="E8" s="22">
        <f>COUNTIF(I8:AM8,"A")</f>
        <v>5</v>
      </c>
      <c r="F8" s="22">
        <f>COUNTIF(J8:AN8,"L")</f>
        <v>0</v>
      </c>
      <c r="G8" s="22">
        <f t="shared" ref="G8:G26" si="1">COUNTIF(K8:AO8,"SL")</f>
        <v>0</v>
      </c>
      <c r="H8" s="22" t="str">
        <f>IFERROR(VLOOKUP($A8&amp;"_"&amp;H$7,Table2[],6,0),"")</f>
        <v/>
      </c>
      <c r="I8" s="22" t="str">
        <f>IFERROR(VLOOKUP($A8&amp;"_"&amp;I$7,Table2[],6,0),"")</f>
        <v/>
      </c>
      <c r="J8" s="22" t="str">
        <f>IFERROR(VLOOKUP($A8&amp;"_"&amp;J$7,Table2[],6,0),"")</f>
        <v>A</v>
      </c>
      <c r="K8" s="22" t="str">
        <f>IFERROR(VLOOKUP($A8&amp;"_"&amp;K$7,Table2[],6,0),"")</f>
        <v>P</v>
      </c>
      <c r="L8" s="22" t="str">
        <f>IFERROR(VLOOKUP($A8&amp;"_"&amp;L$7,Table2[],6,0),"")</f>
        <v>A</v>
      </c>
      <c r="M8" s="22" t="str">
        <f>IFERROR(VLOOKUP($A8&amp;"_"&amp;M$7,Table2[],6,0),"")</f>
        <v>A</v>
      </c>
      <c r="N8" s="22" t="str">
        <f>IFERROR(VLOOKUP($A8&amp;"_"&amp;N$7,Table2[],6,0),"")</f>
        <v>A</v>
      </c>
      <c r="O8" s="22" t="str">
        <f>IFERROR(VLOOKUP($A8&amp;"_"&amp;O$7,Table2[],6,0),"")</f>
        <v>A</v>
      </c>
      <c r="P8" s="22" t="str">
        <f>IFERROR(VLOOKUP($A8&amp;"_"&amp;P$7,Table2[],6,0),"")</f>
        <v/>
      </c>
      <c r="Q8" s="22" t="str">
        <f>IFERROR(VLOOKUP($A8&amp;"_"&amp;Q$7,Table2[],6,0),"")</f>
        <v/>
      </c>
      <c r="R8" s="22" t="str">
        <f>IFERROR(VLOOKUP($A8&amp;"_"&amp;R$7,Table2[],6,0),"")</f>
        <v/>
      </c>
      <c r="S8" s="22" t="str">
        <f>IFERROR(VLOOKUP($A8&amp;"_"&amp;S$7,Table2[],6,0),"")</f>
        <v/>
      </c>
      <c r="T8" s="22" t="str">
        <f>IFERROR(VLOOKUP($A8&amp;"_"&amp;T$7,Table2[],6,0),"")</f>
        <v/>
      </c>
      <c r="U8" s="22" t="str">
        <f>IFERROR(VLOOKUP($A8&amp;"_"&amp;U$7,Table2[],6,0),"")</f>
        <v/>
      </c>
      <c r="V8" s="22" t="str">
        <f>IFERROR(VLOOKUP($A8&amp;"_"&amp;V$7,Table2[],6,0),"")</f>
        <v/>
      </c>
      <c r="W8" s="22" t="str">
        <f>IFERROR(VLOOKUP($A8&amp;"_"&amp;W$7,Table2[],6,0),"")</f>
        <v/>
      </c>
      <c r="X8" s="22" t="str">
        <f>IFERROR(VLOOKUP($A8&amp;"_"&amp;X$7,Table2[],6,0),"")</f>
        <v/>
      </c>
      <c r="Y8" s="22" t="str">
        <f>IFERROR(VLOOKUP($A8&amp;"_"&amp;Y$7,Table2[],6,0),"")</f>
        <v/>
      </c>
      <c r="Z8" s="22" t="str">
        <f>IFERROR(VLOOKUP($A8&amp;"_"&amp;Z$7,Table2[],6,0),"")</f>
        <v/>
      </c>
      <c r="AA8" s="22" t="str">
        <f>IFERROR(VLOOKUP($A8&amp;"_"&amp;AA$7,Table2[],6,0),"")</f>
        <v/>
      </c>
      <c r="AB8" s="22" t="str">
        <f>IFERROR(VLOOKUP($A8&amp;"_"&amp;AB$7,Table2[],6,0),"")</f>
        <v/>
      </c>
      <c r="AC8" s="22" t="str">
        <f>IFERROR(VLOOKUP($A8&amp;"_"&amp;AC$7,Table2[],6,0),"")</f>
        <v/>
      </c>
      <c r="AD8" s="22" t="str">
        <f>IFERROR(VLOOKUP($A8&amp;"_"&amp;AD$7,Table2[],6,0),"")</f>
        <v/>
      </c>
      <c r="AE8" s="22" t="str">
        <f>IFERROR(VLOOKUP($A8&amp;"_"&amp;AE$7,Table2[],6,0),"")</f>
        <v/>
      </c>
      <c r="AF8" s="22" t="str">
        <f>IFERROR(VLOOKUP($A8&amp;"_"&amp;AF$7,Table2[],6,0),"")</f>
        <v/>
      </c>
      <c r="AG8" s="22" t="str">
        <f>IFERROR(VLOOKUP($A8&amp;"_"&amp;AG$7,Table2[],6,0),"")</f>
        <v/>
      </c>
      <c r="AH8" s="22" t="str">
        <f>IFERROR(VLOOKUP($A8&amp;"_"&amp;AH$7,Table2[],6,0),"")</f>
        <v/>
      </c>
      <c r="AI8" s="22" t="str">
        <f>IFERROR(VLOOKUP($A8&amp;"_"&amp;AI$7,Table2[],6,0),"")</f>
        <v/>
      </c>
      <c r="AJ8" s="22" t="str">
        <f>IFERROR(VLOOKUP($A8&amp;"_"&amp;AJ$7,Table2[],6,0),"")</f>
        <v/>
      </c>
      <c r="AK8" s="22" t="str">
        <f>IFERROR(VLOOKUP($A8&amp;"_"&amp;AK$7,Table2[],6,0),"")</f>
        <v/>
      </c>
      <c r="AL8" s="22" t="str">
        <f>IFERROR(VLOOKUP($A8&amp;"_"&amp;AL$7,Table2[],6,0),"")</f>
        <v/>
      </c>
    </row>
    <row r="9" spans="1:38" x14ac:dyDescent="0.25">
      <c r="A9" s="34">
        <v>2394</v>
      </c>
      <c r="B9" s="22" t="str">
        <f>IF('Employee Master'!B3="","",'Employee Master'!B3)</f>
        <v>Candy Chelagat</v>
      </c>
      <c r="C9" s="22" t="str">
        <f>IF('Employee Master'!C3="","",'Employee Master'!C3)</f>
        <v/>
      </c>
      <c r="D9" s="22">
        <f t="shared" ref="D9:D26" si="2">COUNTIF(H9:AL9,"p")</f>
        <v>3</v>
      </c>
      <c r="E9" s="22">
        <f t="shared" ref="E9:E26" si="3">COUNTIF(I9:AM9,"A")</f>
        <v>3</v>
      </c>
      <c r="F9" s="22">
        <f t="shared" ref="F9:F26" si="4">COUNTIF(J9:AN9,"L")</f>
        <v>0</v>
      </c>
      <c r="G9" s="22">
        <f t="shared" si="1"/>
        <v>0</v>
      </c>
      <c r="H9" s="22" t="str">
        <f>IFERROR(VLOOKUP($A9&amp;"_"&amp;H$7,Table2[],6,0),"")</f>
        <v/>
      </c>
      <c r="I9" s="22" t="str">
        <f>IFERROR(VLOOKUP($A9&amp;"_"&amp;I$7,Table2[],6,0),"")</f>
        <v/>
      </c>
      <c r="J9" s="22" t="str">
        <f>IFERROR(VLOOKUP($A9&amp;"_"&amp;J$7,Table2[],6,0),"")</f>
        <v>A</v>
      </c>
      <c r="K9" s="22" t="str">
        <f>IFERROR(VLOOKUP($A9&amp;"_"&amp;K$7,Table2[],6,0),"")</f>
        <v>P</v>
      </c>
      <c r="L9" s="22" t="str">
        <f>IFERROR(VLOOKUP($A9&amp;"_"&amp;L$7,Table2[],6,0),"")</f>
        <v>A</v>
      </c>
      <c r="M9" s="22" t="str">
        <f>IFERROR(VLOOKUP($A9&amp;"_"&amp;M$7,Table2[],6,0),"")</f>
        <v>A</v>
      </c>
      <c r="N9" s="22" t="str">
        <f>IFERROR(VLOOKUP($A9&amp;"_"&amp;N$7,Table2[],6,0),"")</f>
        <v>P</v>
      </c>
      <c r="O9" s="22" t="str">
        <f>IFERROR(VLOOKUP($A9&amp;"_"&amp;O$7,Table2[],6,0),"")</f>
        <v>p</v>
      </c>
      <c r="P9" s="22" t="str">
        <f>IFERROR(VLOOKUP($A9&amp;"_"&amp;P$7,Table2[],6,0),"")</f>
        <v/>
      </c>
      <c r="Q9" s="22" t="str">
        <f>IFERROR(VLOOKUP($A9&amp;"_"&amp;Q$7,Table2[],6,0),"")</f>
        <v/>
      </c>
      <c r="R9" s="22" t="str">
        <f>IFERROR(VLOOKUP($A9&amp;"_"&amp;R$7,Table2[],6,0),"")</f>
        <v/>
      </c>
      <c r="S9" s="22" t="str">
        <f>IFERROR(VLOOKUP($A9&amp;"_"&amp;S$7,Table2[],6,0),"")</f>
        <v/>
      </c>
      <c r="T9" s="22" t="str">
        <f>IFERROR(VLOOKUP($A9&amp;"_"&amp;T$7,Table2[],6,0),"")</f>
        <v/>
      </c>
      <c r="U9" s="22" t="str">
        <f>IFERROR(VLOOKUP($A9&amp;"_"&amp;U$7,Table2[],6,0),"")</f>
        <v/>
      </c>
      <c r="V9" s="22" t="str">
        <f>IFERROR(VLOOKUP($A9&amp;"_"&amp;V$7,Table2[],6,0),"")</f>
        <v/>
      </c>
      <c r="W9" s="22" t="str">
        <f>IFERROR(VLOOKUP($A9&amp;"_"&amp;W$7,Table2[],6,0),"")</f>
        <v/>
      </c>
      <c r="X9" s="22" t="str">
        <f>IFERROR(VLOOKUP($A9&amp;"_"&amp;X$7,Table2[],6,0),"")</f>
        <v/>
      </c>
      <c r="Y9" s="22" t="str">
        <f>IFERROR(VLOOKUP($A9&amp;"_"&amp;Y$7,Table2[],6,0),"")</f>
        <v/>
      </c>
      <c r="Z9" s="22" t="str">
        <f>IFERROR(VLOOKUP($A9&amp;"_"&amp;Z$7,Table2[],6,0),"")</f>
        <v/>
      </c>
      <c r="AA9" s="22" t="str">
        <f>IFERROR(VLOOKUP($A9&amp;"_"&amp;AA$7,Table2[],6,0),"")</f>
        <v/>
      </c>
      <c r="AB9" s="22" t="str">
        <f>IFERROR(VLOOKUP($A9&amp;"_"&amp;AB$7,Table2[],6,0),"")</f>
        <v/>
      </c>
      <c r="AC9" s="22" t="str">
        <f>IFERROR(VLOOKUP($A9&amp;"_"&amp;AC$7,Table2[],6,0),"")</f>
        <v/>
      </c>
      <c r="AD9" s="22" t="str">
        <f>IFERROR(VLOOKUP($A9&amp;"_"&amp;AD$7,Table2[],6,0),"")</f>
        <v/>
      </c>
      <c r="AE9" s="22" t="str">
        <f>IFERROR(VLOOKUP($A9&amp;"_"&amp;AE$7,Table2[],6,0),"")</f>
        <v/>
      </c>
      <c r="AF9" s="22" t="str">
        <f>IFERROR(VLOOKUP($A9&amp;"_"&amp;AF$7,Table2[],6,0),"")</f>
        <v/>
      </c>
      <c r="AG9" s="22" t="str">
        <f>IFERROR(VLOOKUP($A9&amp;"_"&amp;AG$7,Table2[],6,0),"")</f>
        <v/>
      </c>
      <c r="AH9" s="22" t="str">
        <f>IFERROR(VLOOKUP($A9&amp;"_"&amp;AH$7,Table2[],6,0),"")</f>
        <v/>
      </c>
      <c r="AI9" s="22" t="str">
        <f>IFERROR(VLOOKUP($A9&amp;"_"&amp;AI$7,Table2[],6,0),"")</f>
        <v/>
      </c>
      <c r="AJ9" s="22" t="str">
        <f>IFERROR(VLOOKUP($A9&amp;"_"&amp;AJ$7,Table2[],6,0),"")</f>
        <v/>
      </c>
      <c r="AK9" s="22" t="str">
        <f>IFERROR(VLOOKUP($A9&amp;"_"&amp;AK$7,Table2[],6,0),"")</f>
        <v/>
      </c>
      <c r="AL9" s="22" t="str">
        <f>IFERROR(VLOOKUP($A9&amp;"_"&amp;AL$7,Table2[],6,0),"")</f>
        <v/>
      </c>
    </row>
    <row r="10" spans="1:38" x14ac:dyDescent="0.25">
      <c r="A10" s="35">
        <v>2768</v>
      </c>
      <c r="B10" s="22" t="str">
        <f>IF('Employee Master'!B4="","",'Employee Master'!B4)</f>
        <v>David Mwangangi</v>
      </c>
      <c r="C10" s="22" t="str">
        <f>IF('Employee Master'!C4="","",'Employee Master'!C4)</f>
        <v/>
      </c>
      <c r="D10" s="22">
        <f t="shared" si="2"/>
        <v>3</v>
      </c>
      <c r="E10" s="22">
        <f t="shared" si="3"/>
        <v>2</v>
      </c>
      <c r="F10" s="22">
        <f t="shared" si="4"/>
        <v>0</v>
      </c>
      <c r="G10" s="22">
        <f t="shared" si="1"/>
        <v>1</v>
      </c>
      <c r="H10" s="22" t="str">
        <f>IFERROR(VLOOKUP($A10&amp;"_"&amp;H$7,Table2[],6,0),"")</f>
        <v/>
      </c>
      <c r="I10" s="22" t="str">
        <f>IFERROR(VLOOKUP($A10&amp;"_"&amp;I$7,Table2[],6,0),"")</f>
        <v/>
      </c>
      <c r="J10" s="22" t="str">
        <f>IFERROR(VLOOKUP($A10&amp;"_"&amp;J$7,Table2[],6,0),"")</f>
        <v>A</v>
      </c>
      <c r="K10" s="22" t="str">
        <f>IFERROR(VLOOKUP($A10&amp;"_"&amp;K$7,Table2[],6,0),"")</f>
        <v>P</v>
      </c>
      <c r="L10" s="22" t="str">
        <f>IFERROR(VLOOKUP($A10&amp;"_"&amp;L$7,Table2[],6,0),"")</f>
        <v>SL</v>
      </c>
      <c r="M10" s="22" t="str">
        <f>IFERROR(VLOOKUP($A10&amp;"_"&amp;M$7,Table2[],6,0),"")</f>
        <v>A</v>
      </c>
      <c r="N10" s="22" t="str">
        <f>IFERROR(VLOOKUP($A10&amp;"_"&amp;N$7,Table2[],6,0),"")</f>
        <v>P</v>
      </c>
      <c r="O10" s="22" t="str">
        <f>IFERROR(VLOOKUP($A10&amp;"_"&amp;O$7,Table2[],6,0),"")</f>
        <v>p</v>
      </c>
      <c r="P10" s="22" t="str">
        <f>IFERROR(VLOOKUP($A10&amp;"_"&amp;P$7,Table2[],6,0),"")</f>
        <v/>
      </c>
      <c r="Q10" s="22" t="str">
        <f>IFERROR(VLOOKUP($A10&amp;"_"&amp;Q$7,Table2[],6,0),"")</f>
        <v/>
      </c>
      <c r="R10" s="22" t="str">
        <f>IFERROR(VLOOKUP($A10&amp;"_"&amp;R$7,Table2[],6,0),"")</f>
        <v/>
      </c>
      <c r="S10" s="22" t="str">
        <f>IFERROR(VLOOKUP($A10&amp;"_"&amp;S$7,Table2[],6,0),"")</f>
        <v/>
      </c>
      <c r="T10" s="22" t="str">
        <f>IFERROR(VLOOKUP($A10&amp;"_"&amp;T$7,Table2[],6,0),"")</f>
        <v/>
      </c>
      <c r="U10" s="22" t="str">
        <f>IFERROR(VLOOKUP($A10&amp;"_"&amp;U$7,Table2[],6,0),"")</f>
        <v/>
      </c>
      <c r="V10" s="22" t="str">
        <f>IFERROR(VLOOKUP($A10&amp;"_"&amp;V$7,Table2[],6,0),"")</f>
        <v/>
      </c>
      <c r="W10" s="22" t="str">
        <f>IFERROR(VLOOKUP($A10&amp;"_"&amp;W$7,Table2[],6,0),"")</f>
        <v/>
      </c>
      <c r="X10" s="22" t="str">
        <f>IFERROR(VLOOKUP($A10&amp;"_"&amp;X$7,Table2[],6,0),"")</f>
        <v/>
      </c>
      <c r="Y10" s="22" t="str">
        <f>IFERROR(VLOOKUP($A10&amp;"_"&amp;Y$7,Table2[],6,0),"")</f>
        <v/>
      </c>
      <c r="Z10" s="22" t="str">
        <f>IFERROR(VLOOKUP($A10&amp;"_"&amp;Z$7,Table2[],6,0),"")</f>
        <v/>
      </c>
      <c r="AA10" s="22" t="str">
        <f>IFERROR(VLOOKUP($A10&amp;"_"&amp;AA$7,Table2[],6,0),"")</f>
        <v/>
      </c>
      <c r="AB10" s="22" t="str">
        <f>IFERROR(VLOOKUP($A10&amp;"_"&amp;AB$7,Table2[],6,0),"")</f>
        <v/>
      </c>
      <c r="AC10" s="22" t="str">
        <f>IFERROR(VLOOKUP($A10&amp;"_"&amp;AC$7,Table2[],6,0),"")</f>
        <v/>
      </c>
      <c r="AD10" s="22" t="str">
        <f>IFERROR(VLOOKUP($A10&amp;"_"&amp;AD$7,Table2[],6,0),"")</f>
        <v/>
      </c>
      <c r="AE10" s="22" t="str">
        <f>IFERROR(VLOOKUP($A10&amp;"_"&amp;AE$7,Table2[],6,0),"")</f>
        <v/>
      </c>
      <c r="AF10" s="22" t="str">
        <f>IFERROR(VLOOKUP($A10&amp;"_"&amp;AF$7,Table2[],6,0),"")</f>
        <v/>
      </c>
      <c r="AG10" s="22" t="str">
        <f>IFERROR(VLOOKUP($A10&amp;"_"&amp;AG$7,Table2[],6,0),"")</f>
        <v/>
      </c>
      <c r="AH10" s="22" t="str">
        <f>IFERROR(VLOOKUP($A10&amp;"_"&amp;AH$7,Table2[],6,0),"")</f>
        <v/>
      </c>
      <c r="AI10" s="22" t="str">
        <f>IFERROR(VLOOKUP($A10&amp;"_"&amp;AI$7,Table2[],6,0),"")</f>
        <v/>
      </c>
      <c r="AJ10" s="22" t="str">
        <f>IFERROR(VLOOKUP($A10&amp;"_"&amp;AJ$7,Table2[],6,0),"")</f>
        <v/>
      </c>
      <c r="AK10" s="22" t="str">
        <f>IFERROR(VLOOKUP($A10&amp;"_"&amp;AK$7,Table2[],6,0),"")</f>
        <v/>
      </c>
      <c r="AL10" s="22" t="str">
        <f>IFERROR(VLOOKUP($A10&amp;"_"&amp;AL$7,Table2[],6,0),"")</f>
        <v/>
      </c>
    </row>
    <row r="11" spans="1:38" x14ac:dyDescent="0.25">
      <c r="A11" s="34">
        <v>1187</v>
      </c>
      <c r="B11" s="22" t="str">
        <f>IF('Employee Master'!B5="","",'Employee Master'!B5)</f>
        <v>Esther Chege</v>
      </c>
      <c r="C11" s="22" t="str">
        <f>IF('Employee Master'!C5="","",'Employee Master'!C5)</f>
        <v/>
      </c>
      <c r="D11" s="22">
        <f t="shared" si="2"/>
        <v>3</v>
      </c>
      <c r="E11" s="22">
        <f t="shared" si="3"/>
        <v>2</v>
      </c>
      <c r="F11" s="22">
        <f t="shared" si="4"/>
        <v>0</v>
      </c>
      <c r="G11" s="22">
        <f t="shared" si="1"/>
        <v>1</v>
      </c>
      <c r="H11" s="22" t="str">
        <f>IFERROR(VLOOKUP($A11&amp;"_"&amp;H$7,Table2[],6,0),"")</f>
        <v/>
      </c>
      <c r="I11" s="22" t="str">
        <f>IFERROR(VLOOKUP($A11&amp;"_"&amp;I$7,Table2[],6,0),"")</f>
        <v/>
      </c>
      <c r="J11" s="22" t="str">
        <f>IFERROR(VLOOKUP($A11&amp;"_"&amp;J$7,Table2[],6,0),"")</f>
        <v>A</v>
      </c>
      <c r="K11" s="22" t="str">
        <f>IFERROR(VLOOKUP($A11&amp;"_"&amp;K$7,Table2[],6,0),"")</f>
        <v>P</v>
      </c>
      <c r="L11" s="22" t="str">
        <f>IFERROR(VLOOKUP($A11&amp;"_"&amp;L$7,Table2[],6,0),"")</f>
        <v>SL</v>
      </c>
      <c r="M11" s="22" t="str">
        <f>IFERROR(VLOOKUP($A11&amp;"_"&amp;M$7,Table2[],6,0),"")</f>
        <v>A</v>
      </c>
      <c r="N11" s="22" t="str">
        <f>IFERROR(VLOOKUP($A11&amp;"_"&amp;N$7,Table2[],6,0),"")</f>
        <v>P</v>
      </c>
      <c r="O11" s="22" t="str">
        <f>IFERROR(VLOOKUP($A11&amp;"_"&amp;O$7,Table2[],6,0),"")</f>
        <v>p</v>
      </c>
      <c r="P11" s="22" t="str">
        <f>IFERROR(VLOOKUP($A11&amp;"_"&amp;P$7,Table2[],6,0),"")</f>
        <v/>
      </c>
      <c r="Q11" s="22" t="str">
        <f>IFERROR(VLOOKUP($A11&amp;"_"&amp;Q$7,Table2[],6,0),"")</f>
        <v/>
      </c>
      <c r="R11" s="22" t="str">
        <f>IFERROR(VLOOKUP($A11&amp;"_"&amp;R$7,Table2[],6,0),"")</f>
        <v/>
      </c>
      <c r="S11" s="22" t="str">
        <f>IFERROR(VLOOKUP($A11&amp;"_"&amp;S$7,Table2[],6,0),"")</f>
        <v/>
      </c>
      <c r="T11" s="22" t="str">
        <f>IFERROR(VLOOKUP($A11&amp;"_"&amp;T$7,Table2[],6,0),"")</f>
        <v/>
      </c>
      <c r="U11" s="22" t="str">
        <f>IFERROR(VLOOKUP($A11&amp;"_"&amp;U$7,Table2[],6,0),"")</f>
        <v/>
      </c>
      <c r="V11" s="22" t="str">
        <f>IFERROR(VLOOKUP($A11&amp;"_"&amp;V$7,Table2[],6,0),"")</f>
        <v/>
      </c>
      <c r="W11" s="22" t="str">
        <f>IFERROR(VLOOKUP($A11&amp;"_"&amp;W$7,Table2[],6,0),"")</f>
        <v/>
      </c>
      <c r="X11" s="22" t="str">
        <f>IFERROR(VLOOKUP($A11&amp;"_"&amp;X$7,Table2[],6,0),"")</f>
        <v/>
      </c>
      <c r="Y11" s="22" t="str">
        <f>IFERROR(VLOOKUP($A11&amp;"_"&amp;Y$7,Table2[],6,0),"")</f>
        <v/>
      </c>
      <c r="Z11" s="22" t="str">
        <f>IFERROR(VLOOKUP($A11&amp;"_"&amp;Z$7,Table2[],6,0),"")</f>
        <v/>
      </c>
      <c r="AA11" s="22" t="str">
        <f>IFERROR(VLOOKUP($A11&amp;"_"&amp;AA$7,Table2[],6,0),"")</f>
        <v/>
      </c>
      <c r="AB11" s="22" t="str">
        <f>IFERROR(VLOOKUP($A11&amp;"_"&amp;AB$7,Table2[],6,0),"")</f>
        <v/>
      </c>
      <c r="AC11" s="22" t="str">
        <f>IFERROR(VLOOKUP($A11&amp;"_"&amp;AC$7,Table2[],6,0),"")</f>
        <v/>
      </c>
      <c r="AD11" s="22" t="str">
        <f>IFERROR(VLOOKUP($A11&amp;"_"&amp;AD$7,Table2[],6,0),"")</f>
        <v/>
      </c>
      <c r="AE11" s="22" t="str">
        <f>IFERROR(VLOOKUP($A11&amp;"_"&amp;AE$7,Table2[],6,0),"")</f>
        <v/>
      </c>
      <c r="AF11" s="22" t="str">
        <f>IFERROR(VLOOKUP($A11&amp;"_"&amp;AF$7,Table2[],6,0),"")</f>
        <v/>
      </c>
      <c r="AG11" s="22" t="str">
        <f>IFERROR(VLOOKUP($A11&amp;"_"&amp;AG$7,Table2[],6,0),"")</f>
        <v/>
      </c>
      <c r="AH11" s="22" t="str">
        <f>IFERROR(VLOOKUP($A11&amp;"_"&amp;AH$7,Table2[],6,0),"")</f>
        <v/>
      </c>
      <c r="AI11" s="22" t="str">
        <f>IFERROR(VLOOKUP($A11&amp;"_"&amp;AI$7,Table2[],6,0),"")</f>
        <v/>
      </c>
      <c r="AJ11" s="22" t="str">
        <f>IFERROR(VLOOKUP($A11&amp;"_"&amp;AJ$7,Table2[],6,0),"")</f>
        <v/>
      </c>
      <c r="AK11" s="22" t="str">
        <f>IFERROR(VLOOKUP($A11&amp;"_"&amp;AK$7,Table2[],6,0),"")</f>
        <v/>
      </c>
      <c r="AL11" s="22" t="str">
        <f>IFERROR(VLOOKUP($A11&amp;"_"&amp;AL$7,Table2[],6,0),"")</f>
        <v/>
      </c>
    </row>
    <row r="12" spans="1:38" x14ac:dyDescent="0.25">
      <c r="A12" s="35">
        <v>2694</v>
      </c>
      <c r="B12" s="22" t="str">
        <f>IF('Employee Master'!B6="","",'Employee Master'!B6)</f>
        <v>George Aminga</v>
      </c>
      <c r="C12" s="22" t="str">
        <f>IF('Employee Master'!C6="","",'Employee Master'!C6)</f>
        <v/>
      </c>
      <c r="D12" s="22">
        <f t="shared" si="2"/>
        <v>3</v>
      </c>
      <c r="E12" s="22">
        <f t="shared" si="3"/>
        <v>2</v>
      </c>
      <c r="F12" s="22">
        <f t="shared" si="4"/>
        <v>1</v>
      </c>
      <c r="G12" s="22">
        <f t="shared" si="1"/>
        <v>0</v>
      </c>
      <c r="H12" s="22" t="str">
        <f>IFERROR(VLOOKUP($A12&amp;"_"&amp;H$7,Table2[],6,0),"")</f>
        <v/>
      </c>
      <c r="I12" s="22" t="str">
        <f>IFERROR(VLOOKUP($A12&amp;"_"&amp;I$7,Table2[],6,0),"")</f>
        <v/>
      </c>
      <c r="J12" s="22" t="str">
        <f>IFERROR(VLOOKUP($A12&amp;"_"&amp;J$7,Table2[],6,0),"")</f>
        <v>A</v>
      </c>
      <c r="K12" s="22" t="str">
        <f>IFERROR(VLOOKUP($A12&amp;"_"&amp;K$7,Table2[],6,0),"")</f>
        <v>P</v>
      </c>
      <c r="L12" s="22" t="str">
        <f>IFERROR(VLOOKUP($A12&amp;"_"&amp;L$7,Table2[],6,0),"")</f>
        <v>A</v>
      </c>
      <c r="M12" s="22" t="str">
        <f>IFERROR(VLOOKUP($A12&amp;"_"&amp;M$7,Table2[],6,0),"")</f>
        <v>L</v>
      </c>
      <c r="N12" s="22" t="str">
        <f>IFERROR(VLOOKUP($A12&amp;"_"&amp;N$7,Table2[],6,0),"")</f>
        <v>P</v>
      </c>
      <c r="O12" s="22" t="str">
        <f>IFERROR(VLOOKUP($A12&amp;"_"&amp;O$7,Table2[],6,0),"")</f>
        <v>p</v>
      </c>
      <c r="P12" s="22" t="str">
        <f>IFERROR(VLOOKUP($A12&amp;"_"&amp;P$7,Table2[],6,0),"")</f>
        <v/>
      </c>
      <c r="Q12" s="22" t="str">
        <f>IFERROR(VLOOKUP($A12&amp;"_"&amp;Q$7,Table2[],6,0),"")</f>
        <v/>
      </c>
      <c r="R12" s="22" t="str">
        <f>IFERROR(VLOOKUP($A12&amp;"_"&amp;R$7,Table2[],6,0),"")</f>
        <v/>
      </c>
      <c r="S12" s="22" t="str">
        <f>IFERROR(VLOOKUP($A12&amp;"_"&amp;S$7,Table2[],6,0),"")</f>
        <v/>
      </c>
      <c r="T12" s="22" t="str">
        <f>IFERROR(VLOOKUP($A12&amp;"_"&amp;T$7,Table2[],6,0),"")</f>
        <v/>
      </c>
      <c r="U12" s="22" t="str">
        <f>IFERROR(VLOOKUP($A12&amp;"_"&amp;U$7,Table2[],6,0),"")</f>
        <v/>
      </c>
      <c r="V12" s="22" t="str">
        <f>IFERROR(VLOOKUP($A12&amp;"_"&amp;V$7,Table2[],6,0),"")</f>
        <v/>
      </c>
      <c r="W12" s="22" t="str">
        <f>IFERROR(VLOOKUP($A12&amp;"_"&amp;W$7,Table2[],6,0),"")</f>
        <v/>
      </c>
      <c r="X12" s="22" t="str">
        <f>IFERROR(VLOOKUP($A12&amp;"_"&amp;X$7,Table2[],6,0),"")</f>
        <v/>
      </c>
      <c r="Y12" s="22" t="str">
        <f>IFERROR(VLOOKUP($A12&amp;"_"&amp;Y$7,Table2[],6,0),"")</f>
        <v/>
      </c>
      <c r="Z12" s="22" t="str">
        <f>IFERROR(VLOOKUP($A12&amp;"_"&amp;Z$7,Table2[],6,0),"")</f>
        <v/>
      </c>
      <c r="AA12" s="22" t="str">
        <f>IFERROR(VLOOKUP($A12&amp;"_"&amp;AA$7,Table2[],6,0),"")</f>
        <v/>
      </c>
      <c r="AB12" s="22" t="str">
        <f>IFERROR(VLOOKUP($A12&amp;"_"&amp;AB$7,Table2[],6,0),"")</f>
        <v/>
      </c>
      <c r="AC12" s="22" t="str">
        <f>IFERROR(VLOOKUP($A12&amp;"_"&amp;AC$7,Table2[],6,0),"")</f>
        <v/>
      </c>
      <c r="AD12" s="22" t="str">
        <f>IFERROR(VLOOKUP($A12&amp;"_"&amp;AD$7,Table2[],6,0),"")</f>
        <v/>
      </c>
      <c r="AE12" s="22" t="str">
        <f>IFERROR(VLOOKUP($A12&amp;"_"&amp;AE$7,Table2[],6,0),"")</f>
        <v/>
      </c>
      <c r="AF12" s="22" t="str">
        <f>IFERROR(VLOOKUP($A12&amp;"_"&amp;AF$7,Table2[],6,0),"")</f>
        <v/>
      </c>
      <c r="AG12" s="22" t="str">
        <f>IFERROR(VLOOKUP($A12&amp;"_"&amp;AG$7,Table2[],6,0),"")</f>
        <v/>
      </c>
      <c r="AH12" s="22" t="str">
        <f>IFERROR(VLOOKUP($A12&amp;"_"&amp;AH$7,Table2[],6,0),"")</f>
        <v/>
      </c>
      <c r="AI12" s="22" t="str">
        <f>IFERROR(VLOOKUP($A12&amp;"_"&amp;AI$7,Table2[],6,0),"")</f>
        <v/>
      </c>
      <c r="AJ12" s="22" t="str">
        <f>IFERROR(VLOOKUP($A12&amp;"_"&amp;AJ$7,Table2[],6,0),"")</f>
        <v/>
      </c>
      <c r="AK12" s="22" t="str">
        <f>IFERROR(VLOOKUP($A12&amp;"_"&amp;AK$7,Table2[],6,0),"")</f>
        <v/>
      </c>
      <c r="AL12" s="22" t="str">
        <f>IFERROR(VLOOKUP($A12&amp;"_"&amp;AL$7,Table2[],6,0),"")</f>
        <v/>
      </c>
    </row>
    <row r="13" spans="1:38" x14ac:dyDescent="0.25">
      <c r="A13" s="34">
        <v>1897</v>
      </c>
      <c r="B13" s="22" t="str">
        <f>IF('Employee Master'!B7="","",'Employee Master'!B7)</f>
        <v>Jane Mang’uye</v>
      </c>
      <c r="C13" s="22" t="str">
        <f>IF('Employee Master'!C7="","",'Employee Master'!C7)</f>
        <v/>
      </c>
      <c r="D13" s="22">
        <f t="shared" si="2"/>
        <v>3</v>
      </c>
      <c r="E13" s="22">
        <f t="shared" si="3"/>
        <v>2</v>
      </c>
      <c r="F13" s="22">
        <f t="shared" si="4"/>
        <v>1</v>
      </c>
      <c r="G13" s="22">
        <f t="shared" si="1"/>
        <v>0</v>
      </c>
      <c r="H13" s="22" t="str">
        <f>IFERROR(VLOOKUP($A13&amp;"_"&amp;H$7,Table2[],6,0),"")</f>
        <v/>
      </c>
      <c r="I13" s="22" t="str">
        <f>IFERROR(VLOOKUP($A13&amp;"_"&amp;I$7,Table2[],6,0),"")</f>
        <v/>
      </c>
      <c r="J13" s="22" t="str">
        <f>IFERROR(VLOOKUP($A13&amp;"_"&amp;J$7,Table2[],6,0),"")</f>
        <v>A</v>
      </c>
      <c r="K13" s="22" t="str">
        <f>IFERROR(VLOOKUP($A13&amp;"_"&amp;K$7,Table2[],6,0),"")</f>
        <v>P</v>
      </c>
      <c r="L13" s="22" t="str">
        <f>IFERROR(VLOOKUP($A13&amp;"_"&amp;L$7,Table2[],6,0),"")</f>
        <v>A</v>
      </c>
      <c r="M13" s="22" t="str">
        <f>IFERROR(VLOOKUP($A13&amp;"_"&amp;M$7,Table2[],6,0),"")</f>
        <v>L</v>
      </c>
      <c r="N13" s="22" t="str">
        <f>IFERROR(VLOOKUP($A13&amp;"_"&amp;N$7,Table2[],6,0),"")</f>
        <v>P</v>
      </c>
      <c r="O13" s="22" t="str">
        <f>IFERROR(VLOOKUP($A13&amp;"_"&amp;O$7,Table2[],6,0),"")</f>
        <v>p</v>
      </c>
      <c r="P13" s="22" t="str">
        <f>IFERROR(VLOOKUP($A13&amp;"_"&amp;P$7,Table2[],6,0),"")</f>
        <v/>
      </c>
      <c r="Q13" s="22" t="str">
        <f>IFERROR(VLOOKUP($A13&amp;"_"&amp;Q$7,Table2[],6,0),"")</f>
        <v/>
      </c>
      <c r="R13" s="22" t="str">
        <f>IFERROR(VLOOKUP($A13&amp;"_"&amp;R$7,Table2[],6,0),"")</f>
        <v/>
      </c>
      <c r="S13" s="22" t="str">
        <f>IFERROR(VLOOKUP($A13&amp;"_"&amp;S$7,Table2[],6,0),"")</f>
        <v/>
      </c>
      <c r="T13" s="22" t="str">
        <f>IFERROR(VLOOKUP($A13&amp;"_"&amp;T$7,Table2[],6,0),"")</f>
        <v/>
      </c>
      <c r="U13" s="22" t="str">
        <f>IFERROR(VLOOKUP($A13&amp;"_"&amp;U$7,Table2[],6,0),"")</f>
        <v/>
      </c>
      <c r="V13" s="22" t="str">
        <f>IFERROR(VLOOKUP($A13&amp;"_"&amp;V$7,Table2[],6,0),"")</f>
        <v/>
      </c>
      <c r="W13" s="22" t="str">
        <f>IFERROR(VLOOKUP($A13&amp;"_"&amp;W$7,Table2[],6,0),"")</f>
        <v/>
      </c>
      <c r="X13" s="22" t="str">
        <f>IFERROR(VLOOKUP($A13&amp;"_"&amp;X$7,Table2[],6,0),"")</f>
        <v/>
      </c>
      <c r="Y13" s="22" t="str">
        <f>IFERROR(VLOOKUP($A13&amp;"_"&amp;Y$7,Table2[],6,0),"")</f>
        <v/>
      </c>
      <c r="Z13" s="22" t="str">
        <f>IFERROR(VLOOKUP($A13&amp;"_"&amp;Z$7,Table2[],6,0),"")</f>
        <v/>
      </c>
      <c r="AA13" s="22" t="str">
        <f>IFERROR(VLOOKUP($A13&amp;"_"&amp;AA$7,Table2[],6,0),"")</f>
        <v/>
      </c>
      <c r="AB13" s="22" t="str">
        <f>IFERROR(VLOOKUP($A13&amp;"_"&amp;AB$7,Table2[],6,0),"")</f>
        <v/>
      </c>
      <c r="AC13" s="22" t="str">
        <f>IFERROR(VLOOKUP($A13&amp;"_"&amp;AC$7,Table2[],6,0),"")</f>
        <v/>
      </c>
      <c r="AD13" s="22" t="str">
        <f>IFERROR(VLOOKUP($A13&amp;"_"&amp;AD$7,Table2[],6,0),"")</f>
        <v/>
      </c>
      <c r="AE13" s="22" t="str">
        <f>IFERROR(VLOOKUP($A13&amp;"_"&amp;AE$7,Table2[],6,0),"")</f>
        <v/>
      </c>
      <c r="AF13" s="22" t="str">
        <f>IFERROR(VLOOKUP($A13&amp;"_"&amp;AF$7,Table2[],6,0),"")</f>
        <v/>
      </c>
      <c r="AG13" s="22" t="str">
        <f>IFERROR(VLOOKUP($A13&amp;"_"&amp;AG$7,Table2[],6,0),"")</f>
        <v/>
      </c>
      <c r="AH13" s="22" t="str">
        <f>IFERROR(VLOOKUP($A13&amp;"_"&amp;AH$7,Table2[],6,0),"")</f>
        <v/>
      </c>
      <c r="AI13" s="22" t="str">
        <f>IFERROR(VLOOKUP($A13&amp;"_"&amp;AI$7,Table2[],6,0),"")</f>
        <v/>
      </c>
      <c r="AJ13" s="22" t="str">
        <f>IFERROR(VLOOKUP($A13&amp;"_"&amp;AJ$7,Table2[],6,0),"")</f>
        <v/>
      </c>
      <c r="AK13" s="22" t="str">
        <f>IFERROR(VLOOKUP($A13&amp;"_"&amp;AK$7,Table2[],6,0),"")</f>
        <v/>
      </c>
      <c r="AL13" s="22" t="str">
        <f>IFERROR(VLOOKUP($A13&amp;"_"&amp;AL$7,Table2[],6,0),"")</f>
        <v/>
      </c>
    </row>
    <row r="14" spans="1:38" x14ac:dyDescent="0.25">
      <c r="A14" s="27">
        <v>1096</v>
      </c>
      <c r="B14" s="22" t="str">
        <f>IF('Employee Master'!B8="","",'Employee Master'!B8)</f>
        <v>Jane Simba</v>
      </c>
      <c r="C14" s="22" t="str">
        <f>IF('Employee Master'!C8="","",'Employee Master'!C8)</f>
        <v/>
      </c>
      <c r="D14" s="22">
        <f t="shared" si="2"/>
        <v>4</v>
      </c>
      <c r="E14" s="22">
        <f t="shared" si="3"/>
        <v>1</v>
      </c>
      <c r="F14" s="22">
        <f t="shared" si="4"/>
        <v>1</v>
      </c>
      <c r="G14" s="22">
        <f t="shared" si="1"/>
        <v>0</v>
      </c>
      <c r="H14" s="22" t="str">
        <f>IFERROR(VLOOKUP($A14&amp;"_"&amp;H$7,Table2[],6,0),"")</f>
        <v/>
      </c>
      <c r="I14" s="22" t="str">
        <f>IFERROR(VLOOKUP($A14&amp;"_"&amp;I$7,Table2[],6,0),"")</f>
        <v/>
      </c>
      <c r="J14" s="22" t="str">
        <f>IFERROR(VLOOKUP($A14&amp;"_"&amp;J$7,Table2[],6,0),"")</f>
        <v>A</v>
      </c>
      <c r="K14" s="22" t="str">
        <f>IFERROR(VLOOKUP($A14&amp;"_"&amp;K$7,Table2[],6,0),"")</f>
        <v>P</v>
      </c>
      <c r="L14" s="22" t="str">
        <f>IFERROR(VLOOKUP($A14&amp;"_"&amp;L$7,Table2[],6,0),"")</f>
        <v>P</v>
      </c>
      <c r="M14" s="22" t="str">
        <f>IFERROR(VLOOKUP($A14&amp;"_"&amp;M$7,Table2[],6,0),"")</f>
        <v>L</v>
      </c>
      <c r="N14" s="22" t="str">
        <f>IFERROR(VLOOKUP($A14&amp;"_"&amp;N$7,Table2[],6,0),"")</f>
        <v>P</v>
      </c>
      <c r="O14" s="22" t="str">
        <f>IFERROR(VLOOKUP($A14&amp;"_"&amp;O$7,Table2[],6,0),"")</f>
        <v>p</v>
      </c>
      <c r="P14" s="22" t="str">
        <f>IFERROR(VLOOKUP($A14&amp;"_"&amp;P$7,Table2[],6,0),"")</f>
        <v/>
      </c>
      <c r="Q14" s="22" t="str">
        <f>IFERROR(VLOOKUP($A14&amp;"_"&amp;Q$7,Table2[],6,0),"")</f>
        <v/>
      </c>
      <c r="R14" s="22" t="str">
        <f>IFERROR(VLOOKUP($A14&amp;"_"&amp;R$7,Table2[],6,0),"")</f>
        <v/>
      </c>
      <c r="S14" s="22" t="str">
        <f>IFERROR(VLOOKUP($A14&amp;"_"&amp;S$7,Table2[],6,0),"")</f>
        <v/>
      </c>
      <c r="T14" s="22" t="str">
        <f>IFERROR(VLOOKUP($A14&amp;"_"&amp;T$7,Table2[],6,0),"")</f>
        <v/>
      </c>
      <c r="U14" s="22" t="str">
        <f>IFERROR(VLOOKUP($A14&amp;"_"&amp;U$7,Table2[],6,0),"")</f>
        <v/>
      </c>
      <c r="V14" s="22" t="str">
        <f>IFERROR(VLOOKUP($A14&amp;"_"&amp;V$7,Table2[],6,0),"")</f>
        <v/>
      </c>
      <c r="W14" s="22" t="str">
        <f>IFERROR(VLOOKUP($A14&amp;"_"&amp;W$7,Table2[],6,0),"")</f>
        <v/>
      </c>
      <c r="X14" s="22" t="str">
        <f>IFERROR(VLOOKUP($A14&amp;"_"&amp;X$7,Table2[],6,0),"")</f>
        <v/>
      </c>
      <c r="Y14" s="22" t="str">
        <f>IFERROR(VLOOKUP($A14&amp;"_"&amp;Y$7,Table2[],6,0),"")</f>
        <v/>
      </c>
      <c r="Z14" s="22" t="str">
        <f>IFERROR(VLOOKUP($A14&amp;"_"&amp;Z$7,Table2[],6,0),"")</f>
        <v/>
      </c>
      <c r="AA14" s="22" t="str">
        <f>IFERROR(VLOOKUP($A14&amp;"_"&amp;AA$7,Table2[],6,0),"")</f>
        <v/>
      </c>
      <c r="AB14" s="22" t="str">
        <f>IFERROR(VLOOKUP($A14&amp;"_"&amp;AB$7,Table2[],6,0),"")</f>
        <v/>
      </c>
      <c r="AC14" s="22" t="str">
        <f>IFERROR(VLOOKUP($A14&amp;"_"&amp;AC$7,Table2[],6,0),"")</f>
        <v/>
      </c>
      <c r="AD14" s="22" t="str">
        <f>IFERROR(VLOOKUP($A14&amp;"_"&amp;AD$7,Table2[],6,0),"")</f>
        <v/>
      </c>
      <c r="AE14" s="22" t="str">
        <f>IFERROR(VLOOKUP($A14&amp;"_"&amp;AE$7,Table2[],6,0),"")</f>
        <v/>
      </c>
      <c r="AF14" s="22" t="str">
        <f>IFERROR(VLOOKUP($A14&amp;"_"&amp;AF$7,Table2[],6,0),"")</f>
        <v/>
      </c>
      <c r="AG14" s="22" t="str">
        <f>IFERROR(VLOOKUP($A14&amp;"_"&amp;AG$7,Table2[],6,0),"")</f>
        <v/>
      </c>
      <c r="AH14" s="22" t="str">
        <f>IFERROR(VLOOKUP($A14&amp;"_"&amp;AH$7,Table2[],6,0),"")</f>
        <v/>
      </c>
      <c r="AI14" s="22" t="str">
        <f>IFERROR(VLOOKUP($A14&amp;"_"&amp;AI$7,Table2[],6,0),"")</f>
        <v/>
      </c>
      <c r="AJ14" s="22" t="str">
        <f>IFERROR(VLOOKUP($A14&amp;"_"&amp;AJ$7,Table2[],6,0),"")</f>
        <v/>
      </c>
      <c r="AK14" s="22" t="str">
        <f>IFERROR(VLOOKUP($A14&amp;"_"&amp;AK$7,Table2[],6,0),"")</f>
        <v/>
      </c>
      <c r="AL14" s="22" t="str">
        <f>IFERROR(VLOOKUP($A14&amp;"_"&amp;AL$7,Table2[],6,0),"")</f>
        <v/>
      </c>
    </row>
    <row r="15" spans="1:38" x14ac:dyDescent="0.25">
      <c r="A15" s="34">
        <v>276</v>
      </c>
      <c r="B15" s="22" t="str">
        <f>IF('Employee Master'!B9="","",'Employee Master'!B9)</f>
        <v>Jennifer Wasike</v>
      </c>
      <c r="C15" s="22" t="str">
        <f>IF('Employee Master'!C9="","",'Employee Master'!C9)</f>
        <v/>
      </c>
      <c r="D15" s="22">
        <f t="shared" si="2"/>
        <v>3</v>
      </c>
      <c r="E15" s="22">
        <f t="shared" si="3"/>
        <v>1</v>
      </c>
      <c r="F15" s="22">
        <f t="shared" si="4"/>
        <v>2</v>
      </c>
      <c r="G15" s="22">
        <f t="shared" si="1"/>
        <v>0</v>
      </c>
      <c r="H15" s="22" t="str">
        <f>IFERROR(VLOOKUP($A15&amp;"_"&amp;H$7,Table2[],6,0),"")</f>
        <v/>
      </c>
      <c r="I15" s="22" t="str">
        <f>IFERROR(VLOOKUP($A15&amp;"_"&amp;I$7,Table2[],6,0),"")</f>
        <v/>
      </c>
      <c r="J15" s="22" t="str">
        <f>IFERROR(VLOOKUP($A15&amp;"_"&amp;J$7,Table2[],6,0),"")</f>
        <v>A</v>
      </c>
      <c r="K15" s="22" t="str">
        <f>IFERROR(VLOOKUP($A15&amp;"_"&amp;K$7,Table2[],6,0),"")</f>
        <v>L</v>
      </c>
      <c r="L15" s="22" t="str">
        <f>IFERROR(VLOOKUP($A15&amp;"_"&amp;L$7,Table2[],6,0),"")</f>
        <v>P</v>
      </c>
      <c r="M15" s="22" t="str">
        <f>IFERROR(VLOOKUP($A15&amp;"_"&amp;M$7,Table2[],6,0),"")</f>
        <v>L</v>
      </c>
      <c r="N15" s="22" t="str">
        <f>IFERROR(VLOOKUP($A15&amp;"_"&amp;N$7,Table2[],6,0),"")</f>
        <v>P</v>
      </c>
      <c r="O15" s="22" t="str">
        <f>IFERROR(VLOOKUP($A15&amp;"_"&amp;O$7,Table2[],6,0),"")</f>
        <v>p</v>
      </c>
      <c r="P15" s="22" t="str">
        <f>IFERROR(VLOOKUP($A15&amp;"_"&amp;P$7,Table2[],6,0),"")</f>
        <v/>
      </c>
      <c r="Q15" s="22" t="str">
        <f>IFERROR(VLOOKUP($A15&amp;"_"&amp;Q$7,Table2[],6,0),"")</f>
        <v/>
      </c>
      <c r="R15" s="22" t="str">
        <f>IFERROR(VLOOKUP($A15&amp;"_"&amp;R$7,Table2[],6,0),"")</f>
        <v/>
      </c>
      <c r="S15" s="22" t="str">
        <f>IFERROR(VLOOKUP($A15&amp;"_"&amp;S$7,Table2[],6,0),"")</f>
        <v/>
      </c>
      <c r="T15" s="22" t="str">
        <f>IFERROR(VLOOKUP($A15&amp;"_"&amp;T$7,Table2[],6,0),"")</f>
        <v/>
      </c>
      <c r="U15" s="22" t="str">
        <f>IFERROR(VLOOKUP($A15&amp;"_"&amp;U$7,Table2[],6,0),"")</f>
        <v/>
      </c>
      <c r="V15" s="22" t="str">
        <f>IFERROR(VLOOKUP($A15&amp;"_"&amp;V$7,Table2[],6,0),"")</f>
        <v/>
      </c>
      <c r="W15" s="22" t="str">
        <f>IFERROR(VLOOKUP($A15&amp;"_"&amp;W$7,Table2[],6,0),"")</f>
        <v/>
      </c>
      <c r="X15" s="22" t="str">
        <f>IFERROR(VLOOKUP($A15&amp;"_"&amp;X$7,Table2[],6,0),"")</f>
        <v/>
      </c>
      <c r="Y15" s="22" t="str">
        <f>IFERROR(VLOOKUP($A15&amp;"_"&amp;Y$7,Table2[],6,0),"")</f>
        <v/>
      </c>
      <c r="Z15" s="22" t="str">
        <f>IFERROR(VLOOKUP($A15&amp;"_"&amp;Z$7,Table2[],6,0),"")</f>
        <v/>
      </c>
      <c r="AA15" s="22" t="str">
        <f>IFERROR(VLOOKUP($A15&amp;"_"&amp;AA$7,Table2[],6,0),"")</f>
        <v/>
      </c>
      <c r="AB15" s="22" t="str">
        <f>IFERROR(VLOOKUP($A15&amp;"_"&amp;AB$7,Table2[],6,0),"")</f>
        <v/>
      </c>
      <c r="AC15" s="22" t="str">
        <f>IFERROR(VLOOKUP($A15&amp;"_"&amp;AC$7,Table2[],6,0),"")</f>
        <v/>
      </c>
      <c r="AD15" s="22" t="str">
        <f>IFERROR(VLOOKUP($A15&amp;"_"&amp;AD$7,Table2[],6,0),"")</f>
        <v/>
      </c>
      <c r="AE15" s="22" t="str">
        <f>IFERROR(VLOOKUP($A15&amp;"_"&amp;AE$7,Table2[],6,0),"")</f>
        <v/>
      </c>
      <c r="AF15" s="22" t="str">
        <f>IFERROR(VLOOKUP($A15&amp;"_"&amp;AF$7,Table2[],6,0),"")</f>
        <v/>
      </c>
      <c r="AG15" s="22" t="str">
        <f>IFERROR(VLOOKUP($A15&amp;"_"&amp;AG$7,Table2[],6,0),"")</f>
        <v/>
      </c>
      <c r="AH15" s="22" t="str">
        <f>IFERROR(VLOOKUP($A15&amp;"_"&amp;AH$7,Table2[],6,0),"")</f>
        <v/>
      </c>
      <c r="AI15" s="22" t="str">
        <f>IFERROR(VLOOKUP($A15&amp;"_"&amp;AI$7,Table2[],6,0),"")</f>
        <v/>
      </c>
      <c r="AJ15" s="22" t="str">
        <f>IFERROR(VLOOKUP($A15&amp;"_"&amp;AJ$7,Table2[],6,0),"")</f>
        <v/>
      </c>
      <c r="AK15" s="22" t="str">
        <f>IFERROR(VLOOKUP($A15&amp;"_"&amp;AK$7,Table2[],6,0),"")</f>
        <v/>
      </c>
      <c r="AL15" s="22" t="str">
        <f>IFERROR(VLOOKUP($A15&amp;"_"&amp;AL$7,Table2[],6,0),"")</f>
        <v/>
      </c>
    </row>
    <row r="16" spans="1:38" x14ac:dyDescent="0.25">
      <c r="A16" s="35">
        <v>2671</v>
      </c>
      <c r="B16" s="22" t="str">
        <f>IF('Employee Master'!B10="","",'Employee Master'!B10)</f>
        <v>Joselyne Muyundo</v>
      </c>
      <c r="C16" s="22" t="str">
        <f>IF('Employee Master'!C10="","",'Employee Master'!C10)</f>
        <v/>
      </c>
      <c r="D16" s="22">
        <f t="shared" si="2"/>
        <v>5</v>
      </c>
      <c r="E16" s="22">
        <f t="shared" si="3"/>
        <v>1</v>
      </c>
      <c r="F16" s="22">
        <f t="shared" si="4"/>
        <v>0</v>
      </c>
      <c r="G16" s="22">
        <f t="shared" si="1"/>
        <v>0</v>
      </c>
      <c r="H16" s="22" t="str">
        <f>IFERROR(VLOOKUP($A16&amp;"_"&amp;H$7,Table2[],6,0),"")</f>
        <v/>
      </c>
      <c r="I16" s="22" t="str">
        <f>IFERROR(VLOOKUP($A16&amp;"_"&amp;I$7,Table2[],6,0),"")</f>
        <v/>
      </c>
      <c r="J16" s="22" t="str">
        <f>IFERROR(VLOOKUP($A16&amp;"_"&amp;J$7,Table2[],6,0),"")</f>
        <v>A</v>
      </c>
      <c r="K16" s="22" t="str">
        <f>IFERROR(VLOOKUP($A16&amp;"_"&amp;K$7,Table2[],6,0),"")</f>
        <v>P</v>
      </c>
      <c r="L16" s="22" t="str">
        <f>IFERROR(VLOOKUP($A16&amp;"_"&amp;L$7,Table2[],6,0),"")</f>
        <v>P</v>
      </c>
      <c r="M16" s="22" t="str">
        <f>IFERROR(VLOOKUP($A16&amp;"_"&amp;M$7,Table2[],6,0),"")</f>
        <v>P</v>
      </c>
      <c r="N16" s="22" t="str">
        <f>IFERROR(VLOOKUP($A16&amp;"_"&amp;N$7,Table2[],6,0),"")</f>
        <v>P</v>
      </c>
      <c r="O16" s="22" t="str">
        <f>IFERROR(VLOOKUP($A16&amp;"_"&amp;O$7,Table2[],6,0),"")</f>
        <v>p</v>
      </c>
      <c r="P16" s="22" t="str">
        <f>IFERROR(VLOOKUP($A16&amp;"_"&amp;P$7,Table2[],6,0),"")</f>
        <v/>
      </c>
      <c r="Q16" s="22" t="str">
        <f>IFERROR(VLOOKUP($A16&amp;"_"&amp;Q$7,Table2[],6,0),"")</f>
        <v/>
      </c>
      <c r="R16" s="22" t="str">
        <f>IFERROR(VLOOKUP($A16&amp;"_"&amp;R$7,Table2[],6,0),"")</f>
        <v/>
      </c>
      <c r="S16" s="22" t="str">
        <f>IFERROR(VLOOKUP($A16&amp;"_"&amp;S$7,Table2[],6,0),"")</f>
        <v/>
      </c>
      <c r="T16" s="22" t="str">
        <f>IFERROR(VLOOKUP($A16&amp;"_"&amp;T$7,Table2[],6,0),"")</f>
        <v/>
      </c>
      <c r="U16" s="22" t="str">
        <f>IFERROR(VLOOKUP($A16&amp;"_"&amp;U$7,Table2[],6,0),"")</f>
        <v/>
      </c>
      <c r="V16" s="22" t="str">
        <f>IFERROR(VLOOKUP($A16&amp;"_"&amp;V$7,Table2[],6,0),"")</f>
        <v/>
      </c>
      <c r="W16" s="22" t="str">
        <f>IFERROR(VLOOKUP($A16&amp;"_"&amp;W$7,Table2[],6,0),"")</f>
        <v/>
      </c>
      <c r="X16" s="22" t="str">
        <f>IFERROR(VLOOKUP($A16&amp;"_"&amp;X$7,Table2[],6,0),"")</f>
        <v/>
      </c>
      <c r="Y16" s="22" t="str">
        <f>IFERROR(VLOOKUP($A16&amp;"_"&amp;Y$7,Table2[],6,0),"")</f>
        <v/>
      </c>
      <c r="Z16" s="22" t="str">
        <f>IFERROR(VLOOKUP($A16&amp;"_"&amp;Z$7,Table2[],6,0),"")</f>
        <v/>
      </c>
      <c r="AA16" s="22" t="str">
        <f>IFERROR(VLOOKUP($A16&amp;"_"&amp;AA$7,Table2[],6,0),"")</f>
        <v/>
      </c>
      <c r="AB16" s="22" t="str">
        <f>IFERROR(VLOOKUP($A16&amp;"_"&amp;AB$7,Table2[],6,0),"")</f>
        <v/>
      </c>
      <c r="AC16" s="22" t="str">
        <f>IFERROR(VLOOKUP($A16&amp;"_"&amp;AC$7,Table2[],6,0),"")</f>
        <v/>
      </c>
      <c r="AD16" s="22" t="str">
        <f>IFERROR(VLOOKUP($A16&amp;"_"&amp;AD$7,Table2[],6,0),"")</f>
        <v/>
      </c>
      <c r="AE16" s="22" t="str">
        <f>IFERROR(VLOOKUP($A16&amp;"_"&amp;AE$7,Table2[],6,0),"")</f>
        <v/>
      </c>
      <c r="AF16" s="22" t="str">
        <f>IFERROR(VLOOKUP($A16&amp;"_"&amp;AF$7,Table2[],6,0),"")</f>
        <v/>
      </c>
      <c r="AG16" s="22" t="str">
        <f>IFERROR(VLOOKUP($A16&amp;"_"&amp;AG$7,Table2[],6,0),"")</f>
        <v/>
      </c>
      <c r="AH16" s="22" t="str">
        <f>IFERROR(VLOOKUP($A16&amp;"_"&amp;AH$7,Table2[],6,0),"")</f>
        <v/>
      </c>
      <c r="AI16" s="22" t="str">
        <f>IFERROR(VLOOKUP($A16&amp;"_"&amp;AI$7,Table2[],6,0),"")</f>
        <v/>
      </c>
      <c r="AJ16" s="22" t="str">
        <f>IFERROR(VLOOKUP($A16&amp;"_"&amp;AJ$7,Table2[],6,0),"")</f>
        <v/>
      </c>
      <c r="AK16" s="22" t="str">
        <f>IFERROR(VLOOKUP($A16&amp;"_"&amp;AK$7,Table2[],6,0),"")</f>
        <v/>
      </c>
      <c r="AL16" s="22" t="str">
        <f>IFERROR(VLOOKUP($A16&amp;"_"&amp;AL$7,Table2[],6,0),"")</f>
        <v/>
      </c>
    </row>
    <row r="17" spans="1:38" x14ac:dyDescent="0.25">
      <c r="A17" s="36">
        <v>1587</v>
      </c>
      <c r="B17" s="22" t="str">
        <f>IF('Employee Master'!B11="","",'Employee Master'!B11)</f>
        <v>Joyce Mutisya</v>
      </c>
      <c r="C17" s="22" t="str">
        <f>IF('Employee Master'!C11="","",'Employee Master'!C11)</f>
        <v/>
      </c>
      <c r="D17" s="22">
        <f t="shared" si="2"/>
        <v>5</v>
      </c>
      <c r="E17" s="22">
        <f t="shared" si="3"/>
        <v>1</v>
      </c>
      <c r="F17" s="22">
        <f t="shared" si="4"/>
        <v>0</v>
      </c>
      <c r="G17" s="22">
        <f t="shared" si="1"/>
        <v>0</v>
      </c>
      <c r="H17" s="22" t="str">
        <f>IFERROR(VLOOKUP($A17&amp;"_"&amp;H$7,Table2[],6,0),"")</f>
        <v/>
      </c>
      <c r="I17" s="22" t="str">
        <f>IFERROR(VLOOKUP($A17&amp;"_"&amp;I$7,Table2[],6,0),"")</f>
        <v/>
      </c>
      <c r="J17" s="22" t="str">
        <f>IFERROR(VLOOKUP($A17&amp;"_"&amp;J$7,Table2[],6,0),"")</f>
        <v>A</v>
      </c>
      <c r="K17" s="22" t="str">
        <f>IFERROR(VLOOKUP($A17&amp;"_"&amp;K$7,Table2[],6,0),"")</f>
        <v>P</v>
      </c>
      <c r="L17" s="22" t="str">
        <f>IFERROR(VLOOKUP($A17&amp;"_"&amp;L$7,Table2[],6,0),"")</f>
        <v>P</v>
      </c>
      <c r="M17" s="22" t="str">
        <f>IFERROR(VLOOKUP($A17&amp;"_"&amp;M$7,Table2[],6,0),"")</f>
        <v>P</v>
      </c>
      <c r="N17" s="22" t="str">
        <f>IFERROR(VLOOKUP($A17&amp;"_"&amp;N$7,Table2[],6,0),"")</f>
        <v>P</v>
      </c>
      <c r="O17" s="22" t="str">
        <f>IFERROR(VLOOKUP($A17&amp;"_"&amp;O$7,Table2[],6,0),"")</f>
        <v>p</v>
      </c>
      <c r="P17" s="22" t="str">
        <f>IFERROR(VLOOKUP($A17&amp;"_"&amp;P$7,Table2[],6,0),"")</f>
        <v/>
      </c>
      <c r="Q17" s="22" t="str">
        <f>IFERROR(VLOOKUP($A17&amp;"_"&amp;Q$7,Table2[],6,0),"")</f>
        <v/>
      </c>
      <c r="R17" s="22" t="str">
        <f>IFERROR(VLOOKUP($A17&amp;"_"&amp;R$7,Table2[],6,0),"")</f>
        <v/>
      </c>
      <c r="S17" s="22" t="str">
        <f>IFERROR(VLOOKUP($A17&amp;"_"&amp;S$7,Table2[],6,0),"")</f>
        <v/>
      </c>
      <c r="T17" s="22" t="str">
        <f>IFERROR(VLOOKUP($A17&amp;"_"&amp;T$7,Table2[],6,0),"")</f>
        <v/>
      </c>
      <c r="U17" s="22" t="str">
        <f>IFERROR(VLOOKUP($A17&amp;"_"&amp;U$7,Table2[],6,0),"")</f>
        <v/>
      </c>
      <c r="V17" s="22" t="str">
        <f>IFERROR(VLOOKUP($A17&amp;"_"&amp;V$7,Table2[],6,0),"")</f>
        <v/>
      </c>
      <c r="W17" s="22" t="str">
        <f>IFERROR(VLOOKUP($A17&amp;"_"&amp;W$7,Table2[],6,0),"")</f>
        <v/>
      </c>
      <c r="X17" s="22" t="str">
        <f>IFERROR(VLOOKUP($A17&amp;"_"&amp;X$7,Table2[],6,0),"")</f>
        <v/>
      </c>
      <c r="Y17" s="22" t="str">
        <f>IFERROR(VLOOKUP($A17&amp;"_"&amp;Y$7,Table2[],6,0),"")</f>
        <v/>
      </c>
      <c r="Z17" s="22" t="str">
        <f>IFERROR(VLOOKUP($A17&amp;"_"&amp;Z$7,Table2[],6,0),"")</f>
        <v/>
      </c>
      <c r="AA17" s="22" t="str">
        <f>IFERROR(VLOOKUP($A17&amp;"_"&amp;AA$7,Table2[],6,0),"")</f>
        <v/>
      </c>
      <c r="AB17" s="22" t="str">
        <f>IFERROR(VLOOKUP($A17&amp;"_"&amp;AB$7,Table2[],6,0),"")</f>
        <v/>
      </c>
      <c r="AC17" s="22" t="str">
        <f>IFERROR(VLOOKUP($A17&amp;"_"&amp;AC$7,Table2[],6,0),"")</f>
        <v/>
      </c>
      <c r="AD17" s="22" t="str">
        <f>IFERROR(VLOOKUP($A17&amp;"_"&amp;AD$7,Table2[],6,0),"")</f>
        <v/>
      </c>
      <c r="AE17" s="22" t="str">
        <f>IFERROR(VLOOKUP($A17&amp;"_"&amp;AE$7,Table2[],6,0),"")</f>
        <v/>
      </c>
      <c r="AF17" s="22" t="str">
        <f>IFERROR(VLOOKUP($A17&amp;"_"&amp;AF$7,Table2[],6,0),"")</f>
        <v/>
      </c>
      <c r="AG17" s="22" t="str">
        <f>IFERROR(VLOOKUP($A17&amp;"_"&amp;AG$7,Table2[],6,0),"")</f>
        <v/>
      </c>
      <c r="AH17" s="22" t="str">
        <f>IFERROR(VLOOKUP($A17&amp;"_"&amp;AH$7,Table2[],6,0),"")</f>
        <v/>
      </c>
      <c r="AI17" s="22" t="str">
        <f>IFERROR(VLOOKUP($A17&amp;"_"&amp;AI$7,Table2[],6,0),"")</f>
        <v/>
      </c>
      <c r="AJ17" s="22" t="str">
        <f>IFERROR(VLOOKUP($A17&amp;"_"&amp;AJ$7,Table2[],6,0),"")</f>
        <v/>
      </c>
      <c r="AK17" s="22" t="str">
        <f>IFERROR(VLOOKUP($A17&amp;"_"&amp;AK$7,Table2[],6,0),"")</f>
        <v/>
      </c>
      <c r="AL17" s="22" t="str">
        <f>IFERROR(VLOOKUP($A17&amp;"_"&amp;AL$7,Table2[],6,0),"")</f>
        <v/>
      </c>
    </row>
    <row r="18" spans="1:38" x14ac:dyDescent="0.25">
      <c r="A18" s="34">
        <v>470</v>
      </c>
      <c r="B18" s="22" t="str">
        <f>IF('Employee Master'!B12="","",'Employee Master'!B12)</f>
        <v>Justa Njiru</v>
      </c>
      <c r="C18" s="22" t="str">
        <f>IF('Employee Master'!C12="","",'Employee Master'!C12)</f>
        <v/>
      </c>
      <c r="D18" s="22">
        <f t="shared" si="2"/>
        <v>4</v>
      </c>
      <c r="E18" s="22">
        <f t="shared" si="3"/>
        <v>1</v>
      </c>
      <c r="F18" s="22">
        <f t="shared" si="4"/>
        <v>1</v>
      </c>
      <c r="G18" s="22">
        <f t="shared" si="1"/>
        <v>0</v>
      </c>
      <c r="H18" s="22" t="str">
        <f>IFERROR(VLOOKUP($A18&amp;"_"&amp;H$7,Table2[],6,0),"")</f>
        <v/>
      </c>
      <c r="I18" s="22" t="str">
        <f>IFERROR(VLOOKUP($A18&amp;"_"&amp;I$7,Table2[],6,0),"")</f>
        <v/>
      </c>
      <c r="J18" s="22" t="str">
        <f>IFERROR(VLOOKUP($A18&amp;"_"&amp;J$7,Table2[],6,0),"")</f>
        <v>A</v>
      </c>
      <c r="K18" s="22" t="str">
        <f>IFERROR(VLOOKUP($A18&amp;"_"&amp;K$7,Table2[],6,0),"")</f>
        <v>L</v>
      </c>
      <c r="L18" s="22" t="str">
        <f>IFERROR(VLOOKUP($A18&amp;"_"&amp;L$7,Table2[],6,0),"")</f>
        <v>P</v>
      </c>
      <c r="M18" s="22" t="str">
        <f>IFERROR(VLOOKUP($A18&amp;"_"&amp;M$7,Table2[],6,0),"")</f>
        <v>P</v>
      </c>
      <c r="N18" s="22" t="str">
        <f>IFERROR(VLOOKUP($A18&amp;"_"&amp;N$7,Table2[],6,0),"")</f>
        <v>P</v>
      </c>
      <c r="O18" s="22" t="str">
        <f>IFERROR(VLOOKUP($A18&amp;"_"&amp;O$7,Table2[],6,0),"")</f>
        <v>p</v>
      </c>
      <c r="P18" s="22" t="str">
        <f>IFERROR(VLOOKUP($A18&amp;"_"&amp;P$7,Table2[],6,0),"")</f>
        <v/>
      </c>
      <c r="Q18" s="22" t="str">
        <f>IFERROR(VLOOKUP($A18&amp;"_"&amp;Q$7,Table2[],6,0),"")</f>
        <v/>
      </c>
      <c r="R18" s="22" t="str">
        <f>IFERROR(VLOOKUP($A18&amp;"_"&amp;R$7,Table2[],6,0),"")</f>
        <v/>
      </c>
      <c r="S18" s="22" t="str">
        <f>IFERROR(VLOOKUP($A18&amp;"_"&amp;S$7,Table2[],6,0),"")</f>
        <v/>
      </c>
      <c r="T18" s="22" t="str">
        <f>IFERROR(VLOOKUP($A18&amp;"_"&amp;T$7,Table2[],6,0),"")</f>
        <v/>
      </c>
      <c r="U18" s="22" t="str">
        <f>IFERROR(VLOOKUP($A18&amp;"_"&amp;U$7,Table2[],6,0),"")</f>
        <v/>
      </c>
      <c r="V18" s="22" t="str">
        <f>IFERROR(VLOOKUP($A18&amp;"_"&amp;V$7,Table2[],6,0),"")</f>
        <v/>
      </c>
      <c r="W18" s="22" t="str">
        <f>IFERROR(VLOOKUP($A18&amp;"_"&amp;W$7,Table2[],6,0),"")</f>
        <v/>
      </c>
      <c r="X18" s="22" t="str">
        <f>IFERROR(VLOOKUP($A18&amp;"_"&amp;X$7,Table2[],6,0),"")</f>
        <v/>
      </c>
      <c r="Y18" s="22" t="str">
        <f>IFERROR(VLOOKUP($A18&amp;"_"&amp;Y$7,Table2[],6,0),"")</f>
        <v/>
      </c>
      <c r="Z18" s="22" t="str">
        <f>IFERROR(VLOOKUP($A18&amp;"_"&amp;Z$7,Table2[],6,0),"")</f>
        <v/>
      </c>
      <c r="AA18" s="22" t="str">
        <f>IFERROR(VLOOKUP($A18&amp;"_"&amp;AA$7,Table2[],6,0),"")</f>
        <v/>
      </c>
      <c r="AB18" s="22" t="str">
        <f>IFERROR(VLOOKUP($A18&amp;"_"&amp;AB$7,Table2[],6,0),"")</f>
        <v/>
      </c>
      <c r="AC18" s="22" t="str">
        <f>IFERROR(VLOOKUP($A18&amp;"_"&amp;AC$7,Table2[],6,0),"")</f>
        <v/>
      </c>
      <c r="AD18" s="22" t="str">
        <f>IFERROR(VLOOKUP($A18&amp;"_"&amp;AD$7,Table2[],6,0),"")</f>
        <v/>
      </c>
      <c r="AE18" s="22" t="str">
        <f>IFERROR(VLOOKUP($A18&amp;"_"&amp;AE$7,Table2[],6,0),"")</f>
        <v/>
      </c>
      <c r="AF18" s="22" t="str">
        <f>IFERROR(VLOOKUP($A18&amp;"_"&amp;AF$7,Table2[],6,0),"")</f>
        <v/>
      </c>
      <c r="AG18" s="22" t="str">
        <f>IFERROR(VLOOKUP($A18&amp;"_"&amp;AG$7,Table2[],6,0),"")</f>
        <v/>
      </c>
      <c r="AH18" s="22" t="str">
        <f>IFERROR(VLOOKUP($A18&amp;"_"&amp;AH$7,Table2[],6,0),"")</f>
        <v/>
      </c>
      <c r="AI18" s="22" t="str">
        <f>IFERROR(VLOOKUP($A18&amp;"_"&amp;AI$7,Table2[],6,0),"")</f>
        <v/>
      </c>
      <c r="AJ18" s="22" t="str">
        <f>IFERROR(VLOOKUP($A18&amp;"_"&amp;AJ$7,Table2[],6,0),"")</f>
        <v/>
      </c>
      <c r="AK18" s="22" t="str">
        <f>IFERROR(VLOOKUP($A18&amp;"_"&amp;AK$7,Table2[],6,0),"")</f>
        <v/>
      </c>
      <c r="AL18" s="22" t="str">
        <f>IFERROR(VLOOKUP($A18&amp;"_"&amp;AL$7,Table2[],6,0),"")</f>
        <v/>
      </c>
    </row>
    <row r="19" spans="1:38" x14ac:dyDescent="0.25">
      <c r="A19" s="34">
        <v>2651</v>
      </c>
      <c r="B19" s="22" t="str">
        <f>IF('Employee Master'!B13="","",'Employee Master'!B13)</f>
        <v>Lilian Njagi</v>
      </c>
      <c r="C19" s="22" t="str">
        <f>IF('Employee Master'!C13="","",'Employee Master'!C13)</f>
        <v/>
      </c>
      <c r="D19" s="22">
        <f t="shared" si="2"/>
        <v>4</v>
      </c>
      <c r="E19" s="22">
        <f t="shared" si="3"/>
        <v>1</v>
      </c>
      <c r="F19" s="22">
        <f t="shared" si="4"/>
        <v>1</v>
      </c>
      <c r="G19" s="22">
        <f t="shared" si="1"/>
        <v>0</v>
      </c>
      <c r="H19" s="22" t="str">
        <f>IFERROR(VLOOKUP($A19&amp;"_"&amp;H$7,Table2[],6,0),"")</f>
        <v/>
      </c>
      <c r="I19" s="22" t="str">
        <f>IFERROR(VLOOKUP($A19&amp;"_"&amp;I$7,Table2[],6,0),"")</f>
        <v/>
      </c>
      <c r="J19" s="22" t="str">
        <f>IFERROR(VLOOKUP($A19&amp;"_"&amp;J$7,Table2[],6,0),"")</f>
        <v>A</v>
      </c>
      <c r="K19" s="22" t="str">
        <f>IFERROR(VLOOKUP($A19&amp;"_"&amp;K$7,Table2[],6,0),"")</f>
        <v>L</v>
      </c>
      <c r="L19" s="22" t="str">
        <f>IFERROR(VLOOKUP($A19&amp;"_"&amp;L$7,Table2[],6,0),"")</f>
        <v>P</v>
      </c>
      <c r="M19" s="22" t="str">
        <f>IFERROR(VLOOKUP($A19&amp;"_"&amp;M$7,Table2[],6,0),"")</f>
        <v>P</v>
      </c>
      <c r="N19" s="22" t="str">
        <f>IFERROR(VLOOKUP($A19&amp;"_"&amp;N$7,Table2[],6,0),"")</f>
        <v>P</v>
      </c>
      <c r="O19" s="22" t="str">
        <f>IFERROR(VLOOKUP($A19&amp;"_"&amp;O$7,Table2[],6,0),"")</f>
        <v>p</v>
      </c>
      <c r="P19" s="22" t="str">
        <f>IFERROR(VLOOKUP($A19&amp;"_"&amp;P$7,Table2[],6,0),"")</f>
        <v/>
      </c>
      <c r="Q19" s="22" t="str">
        <f>IFERROR(VLOOKUP($A19&amp;"_"&amp;Q$7,Table2[],6,0),"")</f>
        <v/>
      </c>
      <c r="R19" s="22" t="str">
        <f>IFERROR(VLOOKUP($A19&amp;"_"&amp;R$7,Table2[],6,0),"")</f>
        <v/>
      </c>
      <c r="S19" s="22" t="str">
        <f>IFERROR(VLOOKUP($A19&amp;"_"&amp;S$7,Table2[],6,0),"")</f>
        <v/>
      </c>
      <c r="T19" s="22" t="str">
        <f>IFERROR(VLOOKUP($A19&amp;"_"&amp;T$7,Table2[],6,0),"")</f>
        <v/>
      </c>
      <c r="U19" s="22" t="str">
        <f>IFERROR(VLOOKUP($A19&amp;"_"&amp;U$7,Table2[],6,0),"")</f>
        <v/>
      </c>
      <c r="V19" s="22" t="str">
        <f>IFERROR(VLOOKUP($A19&amp;"_"&amp;V$7,Table2[],6,0),"")</f>
        <v/>
      </c>
      <c r="W19" s="22" t="str">
        <f>IFERROR(VLOOKUP($A19&amp;"_"&amp;W$7,Table2[],6,0),"")</f>
        <v/>
      </c>
      <c r="X19" s="22" t="str">
        <f>IFERROR(VLOOKUP($A19&amp;"_"&amp;X$7,Table2[],6,0),"")</f>
        <v/>
      </c>
      <c r="Y19" s="22" t="str">
        <f>IFERROR(VLOOKUP($A19&amp;"_"&amp;Y$7,Table2[],6,0),"")</f>
        <v/>
      </c>
      <c r="Z19" s="22" t="str">
        <f>IFERROR(VLOOKUP($A19&amp;"_"&amp;Z$7,Table2[],6,0),"")</f>
        <v/>
      </c>
      <c r="AA19" s="22" t="str">
        <f>IFERROR(VLOOKUP($A19&amp;"_"&amp;AA$7,Table2[],6,0),"")</f>
        <v/>
      </c>
      <c r="AB19" s="22" t="str">
        <f>IFERROR(VLOOKUP($A19&amp;"_"&amp;AB$7,Table2[],6,0),"")</f>
        <v/>
      </c>
      <c r="AC19" s="22" t="str">
        <f>IFERROR(VLOOKUP($A19&amp;"_"&amp;AC$7,Table2[],6,0),"")</f>
        <v/>
      </c>
      <c r="AD19" s="22" t="str">
        <f>IFERROR(VLOOKUP($A19&amp;"_"&amp;AD$7,Table2[],6,0),"")</f>
        <v/>
      </c>
      <c r="AE19" s="22" t="str">
        <f>IFERROR(VLOOKUP($A19&amp;"_"&amp;AE$7,Table2[],6,0),"")</f>
        <v/>
      </c>
      <c r="AF19" s="22" t="str">
        <f>IFERROR(VLOOKUP($A19&amp;"_"&amp;AF$7,Table2[],6,0),"")</f>
        <v/>
      </c>
      <c r="AG19" s="22" t="str">
        <f>IFERROR(VLOOKUP($A19&amp;"_"&amp;AG$7,Table2[],6,0),"")</f>
        <v/>
      </c>
      <c r="AH19" s="22" t="str">
        <f>IFERROR(VLOOKUP($A19&amp;"_"&amp;AH$7,Table2[],6,0),"")</f>
        <v/>
      </c>
      <c r="AI19" s="22" t="str">
        <f>IFERROR(VLOOKUP($A19&amp;"_"&amp;AI$7,Table2[],6,0),"")</f>
        <v/>
      </c>
      <c r="AJ19" s="22" t="str">
        <f>IFERROR(VLOOKUP($A19&amp;"_"&amp;AJ$7,Table2[],6,0),"")</f>
        <v/>
      </c>
      <c r="AK19" s="22" t="str">
        <f>IFERROR(VLOOKUP($A19&amp;"_"&amp;AK$7,Table2[],6,0),"")</f>
        <v/>
      </c>
      <c r="AL19" s="22" t="str">
        <f>IFERROR(VLOOKUP($A19&amp;"_"&amp;AL$7,Table2[],6,0),"")</f>
        <v/>
      </c>
    </row>
    <row r="20" spans="1:38" x14ac:dyDescent="0.25">
      <c r="A20" s="34">
        <v>2514</v>
      </c>
      <c r="B20" s="22" t="str">
        <f>IF('Employee Master'!B14="","",'Employee Master'!B14)</f>
        <v>Michael Jacob</v>
      </c>
      <c r="C20" s="22" t="str">
        <f>IF('Employee Master'!C14="","",'Employee Master'!C14)</f>
        <v/>
      </c>
      <c r="D20" s="22">
        <f t="shared" si="2"/>
        <v>4</v>
      </c>
      <c r="E20" s="22">
        <f t="shared" si="3"/>
        <v>1</v>
      </c>
      <c r="F20" s="22">
        <f t="shared" si="4"/>
        <v>1</v>
      </c>
      <c r="G20" s="22">
        <f t="shared" si="1"/>
        <v>0</v>
      </c>
      <c r="H20" s="22" t="str">
        <f>IFERROR(VLOOKUP($A20&amp;"_"&amp;H$7,Table2[],6,0),"")</f>
        <v/>
      </c>
      <c r="I20" s="22" t="str">
        <f>IFERROR(VLOOKUP($A20&amp;"_"&amp;I$7,Table2[],6,0),"")</f>
        <v/>
      </c>
      <c r="J20" s="22" t="str">
        <f>IFERROR(VLOOKUP($A20&amp;"_"&amp;J$7,Table2[],6,0),"")</f>
        <v>A</v>
      </c>
      <c r="K20" s="22" t="str">
        <f>IFERROR(VLOOKUP($A20&amp;"_"&amp;K$7,Table2[],6,0),"")</f>
        <v>L</v>
      </c>
      <c r="L20" s="22" t="str">
        <f>IFERROR(VLOOKUP($A20&amp;"_"&amp;L$7,Table2[],6,0),"")</f>
        <v>P</v>
      </c>
      <c r="M20" s="22" t="str">
        <f>IFERROR(VLOOKUP($A20&amp;"_"&amp;M$7,Table2[],6,0),"")</f>
        <v>P</v>
      </c>
      <c r="N20" s="22" t="str">
        <f>IFERROR(VLOOKUP($A20&amp;"_"&amp;N$7,Table2[],6,0),"")</f>
        <v>P</v>
      </c>
      <c r="O20" s="22" t="str">
        <f>IFERROR(VLOOKUP($A20&amp;"_"&amp;O$7,Table2[],6,0),"")</f>
        <v>p</v>
      </c>
      <c r="P20" s="22" t="str">
        <f>IFERROR(VLOOKUP($A20&amp;"_"&amp;P$7,Table2[],6,0),"")</f>
        <v/>
      </c>
      <c r="Q20" s="22" t="str">
        <f>IFERROR(VLOOKUP($A20&amp;"_"&amp;Q$7,Table2[],6,0),"")</f>
        <v/>
      </c>
      <c r="R20" s="22" t="str">
        <f>IFERROR(VLOOKUP($A20&amp;"_"&amp;R$7,Table2[],6,0),"")</f>
        <v/>
      </c>
      <c r="S20" s="22" t="str">
        <f>IFERROR(VLOOKUP($A20&amp;"_"&amp;S$7,Table2[],6,0),"")</f>
        <v/>
      </c>
      <c r="T20" s="22" t="str">
        <f>IFERROR(VLOOKUP($A20&amp;"_"&amp;T$7,Table2[],6,0),"")</f>
        <v/>
      </c>
      <c r="U20" s="22" t="str">
        <f>IFERROR(VLOOKUP($A20&amp;"_"&amp;U$7,Table2[],6,0),"")</f>
        <v/>
      </c>
      <c r="V20" s="22" t="str">
        <f>IFERROR(VLOOKUP($A20&amp;"_"&amp;V$7,Table2[],6,0),"")</f>
        <v/>
      </c>
      <c r="W20" s="22" t="str">
        <f>IFERROR(VLOOKUP($A20&amp;"_"&amp;W$7,Table2[],6,0),"")</f>
        <v/>
      </c>
      <c r="X20" s="22" t="str">
        <f>IFERROR(VLOOKUP($A20&amp;"_"&amp;X$7,Table2[],6,0),"")</f>
        <v/>
      </c>
      <c r="Y20" s="22" t="str">
        <f>IFERROR(VLOOKUP($A20&amp;"_"&amp;Y$7,Table2[],6,0),"")</f>
        <v/>
      </c>
      <c r="Z20" s="22" t="str">
        <f>IFERROR(VLOOKUP($A20&amp;"_"&amp;Z$7,Table2[],6,0),"")</f>
        <v/>
      </c>
      <c r="AA20" s="22" t="str">
        <f>IFERROR(VLOOKUP($A20&amp;"_"&amp;AA$7,Table2[],6,0),"")</f>
        <v/>
      </c>
      <c r="AB20" s="22" t="str">
        <f>IFERROR(VLOOKUP($A20&amp;"_"&amp;AB$7,Table2[],6,0),"")</f>
        <v/>
      </c>
      <c r="AC20" s="22" t="str">
        <f>IFERROR(VLOOKUP($A20&amp;"_"&amp;AC$7,Table2[],6,0),"")</f>
        <v/>
      </c>
      <c r="AD20" s="22" t="str">
        <f>IFERROR(VLOOKUP($A20&amp;"_"&amp;AD$7,Table2[],6,0),"")</f>
        <v/>
      </c>
      <c r="AE20" s="22" t="str">
        <f>IFERROR(VLOOKUP($A20&amp;"_"&amp;AE$7,Table2[],6,0),"")</f>
        <v/>
      </c>
      <c r="AF20" s="22" t="str">
        <f>IFERROR(VLOOKUP($A20&amp;"_"&amp;AF$7,Table2[],6,0),"")</f>
        <v/>
      </c>
      <c r="AG20" s="22" t="str">
        <f>IFERROR(VLOOKUP($A20&amp;"_"&amp;AG$7,Table2[],6,0),"")</f>
        <v/>
      </c>
      <c r="AH20" s="22" t="str">
        <f>IFERROR(VLOOKUP($A20&amp;"_"&amp;AH$7,Table2[],6,0),"")</f>
        <v/>
      </c>
      <c r="AI20" s="22" t="str">
        <f>IFERROR(VLOOKUP($A20&amp;"_"&amp;AI$7,Table2[],6,0),"")</f>
        <v/>
      </c>
      <c r="AJ20" s="22" t="str">
        <f>IFERROR(VLOOKUP($A20&amp;"_"&amp;AJ$7,Table2[],6,0),"")</f>
        <v/>
      </c>
      <c r="AK20" s="22" t="str">
        <f>IFERROR(VLOOKUP($A20&amp;"_"&amp;AK$7,Table2[],6,0),"")</f>
        <v/>
      </c>
      <c r="AL20" s="22" t="str">
        <f>IFERROR(VLOOKUP($A20&amp;"_"&amp;AL$7,Table2[],6,0),"")</f>
        <v/>
      </c>
    </row>
    <row r="21" spans="1:38" x14ac:dyDescent="0.25">
      <c r="A21" s="34">
        <v>2228</v>
      </c>
      <c r="B21" s="22" t="str">
        <f>IF('Employee Master'!B15="","",'Employee Master'!B15)</f>
        <v>Michael Muthoka</v>
      </c>
      <c r="C21" s="22" t="str">
        <f>IF('Employee Master'!C15="","",'Employee Master'!C15)</f>
        <v/>
      </c>
      <c r="D21" s="22">
        <f t="shared" si="2"/>
        <v>4</v>
      </c>
      <c r="E21" s="22">
        <f t="shared" si="3"/>
        <v>1</v>
      </c>
      <c r="F21" s="22">
        <f t="shared" si="4"/>
        <v>1</v>
      </c>
      <c r="G21" s="22">
        <f t="shared" si="1"/>
        <v>0</v>
      </c>
      <c r="H21" s="22" t="str">
        <f>IFERROR(VLOOKUP($A21&amp;"_"&amp;H$7,Table2[],6,0),"")</f>
        <v/>
      </c>
      <c r="I21" s="22" t="str">
        <f>IFERROR(VLOOKUP($A21&amp;"_"&amp;I$7,Table2[],6,0),"")</f>
        <v/>
      </c>
      <c r="J21" s="22" t="str">
        <f>IFERROR(VLOOKUP($A21&amp;"_"&amp;J$7,Table2[],6,0),"")</f>
        <v>A</v>
      </c>
      <c r="K21" s="22" t="str">
        <f>IFERROR(VLOOKUP($A21&amp;"_"&amp;K$7,Table2[],6,0),"")</f>
        <v>L</v>
      </c>
      <c r="L21" s="22" t="str">
        <f>IFERROR(VLOOKUP($A21&amp;"_"&amp;L$7,Table2[],6,0),"")</f>
        <v>P</v>
      </c>
      <c r="M21" s="22" t="str">
        <f>IFERROR(VLOOKUP($A21&amp;"_"&amp;M$7,Table2[],6,0),"")</f>
        <v>P</v>
      </c>
      <c r="N21" s="22" t="str">
        <f>IFERROR(VLOOKUP($A21&amp;"_"&amp;N$7,Table2[],6,0),"")</f>
        <v>P</v>
      </c>
      <c r="O21" s="22" t="str">
        <f>IFERROR(VLOOKUP($A21&amp;"_"&amp;O$7,Table2[],6,0),"")</f>
        <v>p</v>
      </c>
      <c r="P21" s="22" t="str">
        <f>IFERROR(VLOOKUP($A21&amp;"_"&amp;P$7,Table2[],6,0),"")</f>
        <v/>
      </c>
      <c r="Q21" s="22" t="str">
        <f>IFERROR(VLOOKUP($A21&amp;"_"&amp;Q$7,Table2[],6,0),"")</f>
        <v/>
      </c>
      <c r="R21" s="22" t="str">
        <f>IFERROR(VLOOKUP($A21&amp;"_"&amp;R$7,Table2[],6,0),"")</f>
        <v/>
      </c>
      <c r="S21" s="22" t="str">
        <f>IFERROR(VLOOKUP($A21&amp;"_"&amp;S$7,Table2[],6,0),"")</f>
        <v/>
      </c>
      <c r="T21" s="22" t="str">
        <f>IFERROR(VLOOKUP($A21&amp;"_"&amp;T$7,Table2[],6,0),"")</f>
        <v/>
      </c>
      <c r="U21" s="22" t="str">
        <f>IFERROR(VLOOKUP($A21&amp;"_"&amp;U$7,Table2[],6,0),"")</f>
        <v/>
      </c>
      <c r="V21" s="22" t="str">
        <f>IFERROR(VLOOKUP($A21&amp;"_"&amp;V$7,Table2[],6,0),"")</f>
        <v/>
      </c>
      <c r="W21" s="22" t="str">
        <f>IFERROR(VLOOKUP($A21&amp;"_"&amp;W$7,Table2[],6,0),"")</f>
        <v/>
      </c>
      <c r="X21" s="22" t="str">
        <f>IFERROR(VLOOKUP($A21&amp;"_"&amp;X$7,Table2[],6,0),"")</f>
        <v/>
      </c>
      <c r="Y21" s="22" t="str">
        <f>IFERROR(VLOOKUP($A21&amp;"_"&amp;Y$7,Table2[],6,0),"")</f>
        <v/>
      </c>
      <c r="Z21" s="22" t="str">
        <f>IFERROR(VLOOKUP($A21&amp;"_"&amp;Z$7,Table2[],6,0),"")</f>
        <v/>
      </c>
      <c r="AA21" s="22" t="str">
        <f>IFERROR(VLOOKUP($A21&amp;"_"&amp;AA$7,Table2[],6,0),"")</f>
        <v/>
      </c>
      <c r="AB21" s="22" t="str">
        <f>IFERROR(VLOOKUP($A21&amp;"_"&amp;AB$7,Table2[],6,0),"")</f>
        <v/>
      </c>
      <c r="AC21" s="22" t="str">
        <f>IFERROR(VLOOKUP($A21&amp;"_"&amp;AC$7,Table2[],6,0),"")</f>
        <v/>
      </c>
      <c r="AD21" s="22" t="str">
        <f>IFERROR(VLOOKUP($A21&amp;"_"&amp;AD$7,Table2[],6,0),"")</f>
        <v/>
      </c>
      <c r="AE21" s="22" t="str">
        <f>IFERROR(VLOOKUP($A21&amp;"_"&amp;AE$7,Table2[],6,0),"")</f>
        <v/>
      </c>
      <c r="AF21" s="22" t="str">
        <f>IFERROR(VLOOKUP($A21&amp;"_"&amp;AF$7,Table2[],6,0),"")</f>
        <v/>
      </c>
      <c r="AG21" s="22" t="str">
        <f>IFERROR(VLOOKUP($A21&amp;"_"&amp;AG$7,Table2[],6,0),"")</f>
        <v/>
      </c>
      <c r="AH21" s="22" t="str">
        <f>IFERROR(VLOOKUP($A21&amp;"_"&amp;AH$7,Table2[],6,0),"")</f>
        <v/>
      </c>
      <c r="AI21" s="22" t="str">
        <f>IFERROR(VLOOKUP($A21&amp;"_"&amp;AI$7,Table2[],6,0),"")</f>
        <v/>
      </c>
      <c r="AJ21" s="22" t="str">
        <f>IFERROR(VLOOKUP($A21&amp;"_"&amp;AJ$7,Table2[],6,0),"")</f>
        <v/>
      </c>
      <c r="AK21" s="22" t="str">
        <f>IFERROR(VLOOKUP($A21&amp;"_"&amp;AK$7,Table2[],6,0),"")</f>
        <v/>
      </c>
      <c r="AL21" s="22" t="str">
        <f>IFERROR(VLOOKUP($A21&amp;"_"&amp;AL$7,Table2[],6,0),"")</f>
        <v/>
      </c>
    </row>
    <row r="22" spans="1:38" x14ac:dyDescent="0.25">
      <c r="A22" s="34">
        <v>2636</v>
      </c>
      <c r="B22" s="22" t="str">
        <f>IF('Employee Master'!B16="","",'Employee Master'!B16)</f>
        <v>Scola J. Kipkulei</v>
      </c>
      <c r="C22" s="22" t="str">
        <f>IF('Employee Master'!C16="","",'Employee Master'!C16)</f>
        <v/>
      </c>
      <c r="D22" s="22">
        <f t="shared" si="2"/>
        <v>4</v>
      </c>
      <c r="E22" s="22">
        <f t="shared" si="3"/>
        <v>1</v>
      </c>
      <c r="F22" s="22">
        <f t="shared" si="4"/>
        <v>1</v>
      </c>
      <c r="G22" s="22">
        <f t="shared" si="1"/>
        <v>0</v>
      </c>
      <c r="H22" s="22" t="str">
        <f>IFERROR(VLOOKUP($A22&amp;"_"&amp;H$7,Table2[],6,0),"")</f>
        <v/>
      </c>
      <c r="I22" s="22" t="str">
        <f>IFERROR(VLOOKUP($A22&amp;"_"&amp;I$7,Table2[],6,0),"")</f>
        <v/>
      </c>
      <c r="J22" s="22" t="str">
        <f>IFERROR(VLOOKUP($A22&amp;"_"&amp;J$7,Table2[],6,0),"")</f>
        <v>A</v>
      </c>
      <c r="K22" s="22" t="str">
        <f>IFERROR(VLOOKUP($A22&amp;"_"&amp;K$7,Table2[],6,0),"")</f>
        <v>L</v>
      </c>
      <c r="L22" s="22" t="str">
        <f>IFERROR(VLOOKUP($A22&amp;"_"&amp;L$7,Table2[],6,0),"")</f>
        <v>P</v>
      </c>
      <c r="M22" s="22" t="str">
        <f>IFERROR(VLOOKUP($A22&amp;"_"&amp;M$7,Table2[],6,0),"")</f>
        <v>P</v>
      </c>
      <c r="N22" s="22" t="str">
        <f>IFERROR(VLOOKUP($A22&amp;"_"&amp;N$7,Table2[],6,0),"")</f>
        <v>P</v>
      </c>
      <c r="O22" s="22" t="str">
        <f>IFERROR(VLOOKUP($A22&amp;"_"&amp;O$7,Table2[],6,0),"")</f>
        <v>p</v>
      </c>
      <c r="P22" s="22" t="str">
        <f>IFERROR(VLOOKUP($A22&amp;"_"&amp;P$7,Table2[],6,0),"")</f>
        <v/>
      </c>
      <c r="Q22" s="22" t="str">
        <f>IFERROR(VLOOKUP($A22&amp;"_"&amp;Q$7,Table2[],6,0),"")</f>
        <v/>
      </c>
      <c r="R22" s="22" t="str">
        <f>IFERROR(VLOOKUP($A22&amp;"_"&amp;R$7,Table2[],6,0),"")</f>
        <v/>
      </c>
      <c r="S22" s="22" t="str">
        <f>IFERROR(VLOOKUP($A22&amp;"_"&amp;S$7,Table2[],6,0),"")</f>
        <v/>
      </c>
      <c r="T22" s="22" t="str">
        <f>IFERROR(VLOOKUP($A22&amp;"_"&amp;T$7,Table2[],6,0),"")</f>
        <v/>
      </c>
      <c r="U22" s="22" t="str">
        <f>IFERROR(VLOOKUP($A22&amp;"_"&amp;U$7,Table2[],6,0),"")</f>
        <v/>
      </c>
      <c r="V22" s="22" t="str">
        <f>IFERROR(VLOOKUP($A22&amp;"_"&amp;V$7,Table2[],6,0),"")</f>
        <v/>
      </c>
      <c r="W22" s="22" t="str">
        <f>IFERROR(VLOOKUP($A22&amp;"_"&amp;W$7,Table2[],6,0),"")</f>
        <v/>
      </c>
      <c r="X22" s="22" t="str">
        <f>IFERROR(VLOOKUP($A22&amp;"_"&amp;X$7,Table2[],6,0),"")</f>
        <v/>
      </c>
      <c r="Y22" s="22" t="str">
        <f>IFERROR(VLOOKUP($A22&amp;"_"&amp;Y$7,Table2[],6,0),"")</f>
        <v/>
      </c>
      <c r="Z22" s="22" t="str">
        <f>IFERROR(VLOOKUP($A22&amp;"_"&amp;Z$7,Table2[],6,0),"")</f>
        <v/>
      </c>
      <c r="AA22" s="22" t="str">
        <f>IFERROR(VLOOKUP($A22&amp;"_"&amp;AA$7,Table2[],6,0),"")</f>
        <v/>
      </c>
      <c r="AB22" s="22" t="str">
        <f>IFERROR(VLOOKUP($A22&amp;"_"&amp;AB$7,Table2[],6,0),"")</f>
        <v/>
      </c>
      <c r="AC22" s="22" t="str">
        <f>IFERROR(VLOOKUP($A22&amp;"_"&amp;AC$7,Table2[],6,0),"")</f>
        <v/>
      </c>
      <c r="AD22" s="22" t="str">
        <f>IFERROR(VLOOKUP($A22&amp;"_"&amp;AD$7,Table2[],6,0),"")</f>
        <v/>
      </c>
      <c r="AE22" s="22" t="str">
        <f>IFERROR(VLOOKUP($A22&amp;"_"&amp;AE$7,Table2[],6,0),"")</f>
        <v/>
      </c>
      <c r="AF22" s="22" t="str">
        <f>IFERROR(VLOOKUP($A22&amp;"_"&amp;AF$7,Table2[],6,0),"")</f>
        <v/>
      </c>
      <c r="AG22" s="22" t="str">
        <f>IFERROR(VLOOKUP($A22&amp;"_"&amp;AG$7,Table2[],6,0),"")</f>
        <v/>
      </c>
      <c r="AH22" s="22" t="str">
        <f>IFERROR(VLOOKUP($A22&amp;"_"&amp;AH$7,Table2[],6,0),"")</f>
        <v/>
      </c>
      <c r="AI22" s="22" t="str">
        <f>IFERROR(VLOOKUP($A22&amp;"_"&amp;AI$7,Table2[],6,0),"")</f>
        <v/>
      </c>
      <c r="AJ22" s="22" t="str">
        <f>IFERROR(VLOOKUP($A22&amp;"_"&amp;AJ$7,Table2[],6,0),"")</f>
        <v/>
      </c>
      <c r="AK22" s="22" t="str">
        <f>IFERROR(VLOOKUP($A22&amp;"_"&amp;AK$7,Table2[],6,0),"")</f>
        <v/>
      </c>
      <c r="AL22" s="22" t="str">
        <f>IFERROR(VLOOKUP($A22&amp;"_"&amp;AL$7,Table2[],6,0),"")</f>
        <v/>
      </c>
    </row>
    <row r="23" spans="1:38" x14ac:dyDescent="0.25">
      <c r="A23" s="34">
        <v>2738</v>
      </c>
      <c r="B23" s="22" t="str">
        <f>IF('Employee Master'!B17="","",'Employee Master'!B17)</f>
        <v>Silvia Muchera</v>
      </c>
      <c r="C23" s="22" t="str">
        <f>IF('Employee Master'!C17="","",'Employee Master'!C17)</f>
        <v/>
      </c>
      <c r="D23" s="22">
        <f t="shared" si="2"/>
        <v>4</v>
      </c>
      <c r="E23" s="22">
        <f t="shared" si="3"/>
        <v>1</v>
      </c>
      <c r="F23" s="22">
        <f t="shared" si="4"/>
        <v>1</v>
      </c>
      <c r="G23" s="22">
        <f t="shared" si="1"/>
        <v>0</v>
      </c>
      <c r="H23" s="22" t="str">
        <f>IFERROR(VLOOKUP($A23&amp;"_"&amp;H$7,Table2[],6,0),"")</f>
        <v/>
      </c>
      <c r="I23" s="22" t="str">
        <f>IFERROR(VLOOKUP($A23&amp;"_"&amp;I$7,Table2[],6,0),"")</f>
        <v/>
      </c>
      <c r="J23" s="22" t="str">
        <f>IFERROR(VLOOKUP($A23&amp;"_"&amp;J$7,Table2[],6,0),"")</f>
        <v>A</v>
      </c>
      <c r="K23" s="22" t="str">
        <f>IFERROR(VLOOKUP($A23&amp;"_"&amp;K$7,Table2[],6,0),"")</f>
        <v>L</v>
      </c>
      <c r="L23" s="22" t="str">
        <f>IFERROR(VLOOKUP($A23&amp;"_"&amp;L$7,Table2[],6,0),"")</f>
        <v>P</v>
      </c>
      <c r="M23" s="22" t="str">
        <f>IFERROR(VLOOKUP($A23&amp;"_"&amp;M$7,Table2[],6,0),"")</f>
        <v>P</v>
      </c>
      <c r="N23" s="22" t="str">
        <f>IFERROR(VLOOKUP($A23&amp;"_"&amp;N$7,Table2[],6,0),"")</f>
        <v>P</v>
      </c>
      <c r="O23" s="22" t="str">
        <f>IFERROR(VLOOKUP($A23&amp;"_"&amp;O$7,Table2[],6,0),"")</f>
        <v>p</v>
      </c>
      <c r="P23" s="22" t="str">
        <f>IFERROR(VLOOKUP($A23&amp;"_"&amp;P$7,Table2[],6,0),"")</f>
        <v/>
      </c>
      <c r="Q23" s="22" t="str">
        <f>IFERROR(VLOOKUP($A23&amp;"_"&amp;Q$7,Table2[],6,0),"")</f>
        <v/>
      </c>
      <c r="R23" s="22" t="str">
        <f>IFERROR(VLOOKUP($A23&amp;"_"&amp;R$7,Table2[],6,0),"")</f>
        <v/>
      </c>
      <c r="S23" s="22" t="str">
        <f>IFERROR(VLOOKUP($A23&amp;"_"&amp;S$7,Table2[],6,0),"")</f>
        <v/>
      </c>
      <c r="T23" s="22" t="str">
        <f>IFERROR(VLOOKUP($A23&amp;"_"&amp;T$7,Table2[],6,0),"")</f>
        <v/>
      </c>
      <c r="U23" s="22" t="str">
        <f>IFERROR(VLOOKUP($A23&amp;"_"&amp;U$7,Table2[],6,0),"")</f>
        <v/>
      </c>
      <c r="V23" s="22" t="str">
        <f>IFERROR(VLOOKUP($A23&amp;"_"&amp;V$7,Table2[],6,0),"")</f>
        <v/>
      </c>
      <c r="W23" s="22" t="str">
        <f>IFERROR(VLOOKUP($A23&amp;"_"&amp;W$7,Table2[],6,0),"")</f>
        <v/>
      </c>
      <c r="X23" s="22" t="str">
        <f>IFERROR(VLOOKUP($A23&amp;"_"&amp;X$7,Table2[],6,0),"")</f>
        <v/>
      </c>
      <c r="Y23" s="22" t="str">
        <f>IFERROR(VLOOKUP($A23&amp;"_"&amp;Y$7,Table2[],6,0),"")</f>
        <v/>
      </c>
      <c r="Z23" s="22" t="str">
        <f>IFERROR(VLOOKUP($A23&amp;"_"&amp;Z$7,Table2[],6,0),"")</f>
        <v/>
      </c>
      <c r="AA23" s="22" t="str">
        <f>IFERROR(VLOOKUP($A23&amp;"_"&amp;AA$7,Table2[],6,0),"")</f>
        <v/>
      </c>
      <c r="AB23" s="22" t="str">
        <f>IFERROR(VLOOKUP($A23&amp;"_"&amp;AB$7,Table2[],6,0),"")</f>
        <v/>
      </c>
      <c r="AC23" s="22" t="str">
        <f>IFERROR(VLOOKUP($A23&amp;"_"&amp;AC$7,Table2[],6,0),"")</f>
        <v/>
      </c>
      <c r="AD23" s="22" t="str">
        <f>IFERROR(VLOOKUP($A23&amp;"_"&amp;AD$7,Table2[],6,0),"")</f>
        <v/>
      </c>
      <c r="AE23" s="22" t="str">
        <f>IFERROR(VLOOKUP($A23&amp;"_"&amp;AE$7,Table2[],6,0),"")</f>
        <v/>
      </c>
      <c r="AF23" s="22" t="str">
        <f>IFERROR(VLOOKUP($A23&amp;"_"&amp;AF$7,Table2[],6,0),"")</f>
        <v/>
      </c>
      <c r="AG23" s="22" t="str">
        <f>IFERROR(VLOOKUP($A23&amp;"_"&amp;AG$7,Table2[],6,0),"")</f>
        <v/>
      </c>
      <c r="AH23" s="22" t="str">
        <f>IFERROR(VLOOKUP($A23&amp;"_"&amp;AH$7,Table2[],6,0),"")</f>
        <v/>
      </c>
      <c r="AI23" s="22" t="str">
        <f>IFERROR(VLOOKUP($A23&amp;"_"&amp;AI$7,Table2[],6,0),"")</f>
        <v/>
      </c>
      <c r="AJ23" s="22" t="str">
        <f>IFERROR(VLOOKUP($A23&amp;"_"&amp;AJ$7,Table2[],6,0),"")</f>
        <v/>
      </c>
      <c r="AK23" s="22" t="str">
        <f>IFERROR(VLOOKUP($A23&amp;"_"&amp;AK$7,Table2[],6,0),"")</f>
        <v/>
      </c>
      <c r="AL23" s="22" t="str">
        <f>IFERROR(VLOOKUP($A23&amp;"_"&amp;AL$7,Table2[],6,0),"")</f>
        <v/>
      </c>
    </row>
    <row r="24" spans="1:38" x14ac:dyDescent="0.25">
      <c r="A24" s="34">
        <v>1085</v>
      </c>
      <c r="B24" s="22" t="str">
        <f>IF('Employee Master'!B18="","",'Employee Master'!B18)</f>
        <v>Simon Kiilu</v>
      </c>
      <c r="C24" s="22" t="str">
        <f>IF('Employee Master'!C18="","",'Employee Master'!C18)</f>
        <v/>
      </c>
      <c r="D24" s="22">
        <f t="shared" si="2"/>
        <v>4</v>
      </c>
      <c r="E24" s="22">
        <f t="shared" si="3"/>
        <v>1</v>
      </c>
      <c r="F24" s="22">
        <f t="shared" si="4"/>
        <v>0</v>
      </c>
      <c r="G24" s="22">
        <f t="shared" si="1"/>
        <v>1</v>
      </c>
      <c r="H24" s="22" t="str">
        <f>IFERROR(VLOOKUP($A24&amp;"_"&amp;H$7,Table2[],6,0),"")</f>
        <v/>
      </c>
      <c r="I24" s="22" t="str">
        <f>IFERROR(VLOOKUP($A24&amp;"_"&amp;I$7,Table2[],6,0),"")</f>
        <v/>
      </c>
      <c r="J24" s="22" t="str">
        <f>IFERROR(VLOOKUP($A24&amp;"_"&amp;J$7,Table2[],6,0),"")</f>
        <v>A</v>
      </c>
      <c r="K24" s="22" t="str">
        <f>IFERROR(VLOOKUP($A24&amp;"_"&amp;K$7,Table2[],6,0),"")</f>
        <v>P</v>
      </c>
      <c r="L24" s="22" t="str">
        <f>IFERROR(VLOOKUP($A24&amp;"_"&amp;L$7,Table2[],6,0),"")</f>
        <v>P</v>
      </c>
      <c r="M24" s="22" t="str">
        <f>IFERROR(VLOOKUP($A24&amp;"_"&amp;M$7,Table2[],6,0),"")</f>
        <v>SL</v>
      </c>
      <c r="N24" s="22" t="str">
        <f>IFERROR(VLOOKUP($A24&amp;"_"&amp;N$7,Table2[],6,0),"")</f>
        <v>P</v>
      </c>
      <c r="O24" s="22" t="str">
        <f>IFERROR(VLOOKUP($A24&amp;"_"&amp;O$7,Table2[],6,0),"")</f>
        <v>p</v>
      </c>
      <c r="P24" s="22" t="str">
        <f>IFERROR(VLOOKUP($A24&amp;"_"&amp;P$7,Table2[],6,0),"")</f>
        <v/>
      </c>
      <c r="Q24" s="22" t="str">
        <f>IFERROR(VLOOKUP($A24&amp;"_"&amp;Q$7,Table2[],6,0),"")</f>
        <v/>
      </c>
      <c r="R24" s="22" t="str">
        <f>IFERROR(VLOOKUP($A24&amp;"_"&amp;R$7,Table2[],6,0),"")</f>
        <v/>
      </c>
      <c r="S24" s="22" t="str">
        <f>IFERROR(VLOOKUP($A24&amp;"_"&amp;S$7,Table2[],6,0),"")</f>
        <v/>
      </c>
      <c r="T24" s="22" t="str">
        <f>IFERROR(VLOOKUP($A24&amp;"_"&amp;T$7,Table2[],6,0),"")</f>
        <v/>
      </c>
      <c r="U24" s="22" t="str">
        <f>IFERROR(VLOOKUP($A24&amp;"_"&amp;U$7,Table2[],6,0),"")</f>
        <v/>
      </c>
      <c r="V24" s="22" t="str">
        <f>IFERROR(VLOOKUP($A24&amp;"_"&amp;V$7,Table2[],6,0),"")</f>
        <v/>
      </c>
      <c r="W24" s="22" t="str">
        <f>IFERROR(VLOOKUP($A24&amp;"_"&amp;W$7,Table2[],6,0),"")</f>
        <v/>
      </c>
      <c r="X24" s="22" t="str">
        <f>IFERROR(VLOOKUP($A24&amp;"_"&amp;X$7,Table2[],6,0),"")</f>
        <v/>
      </c>
      <c r="Y24" s="22" t="str">
        <f>IFERROR(VLOOKUP($A24&amp;"_"&amp;Y$7,Table2[],6,0),"")</f>
        <v/>
      </c>
      <c r="Z24" s="22" t="str">
        <f>IFERROR(VLOOKUP($A24&amp;"_"&amp;Z$7,Table2[],6,0),"")</f>
        <v/>
      </c>
      <c r="AA24" s="22" t="str">
        <f>IFERROR(VLOOKUP($A24&amp;"_"&amp;AA$7,Table2[],6,0),"")</f>
        <v/>
      </c>
      <c r="AB24" s="22" t="str">
        <f>IFERROR(VLOOKUP($A24&amp;"_"&amp;AB$7,Table2[],6,0),"")</f>
        <v/>
      </c>
      <c r="AC24" s="22" t="str">
        <f>IFERROR(VLOOKUP($A24&amp;"_"&amp;AC$7,Table2[],6,0),"")</f>
        <v/>
      </c>
      <c r="AD24" s="22" t="str">
        <f>IFERROR(VLOOKUP($A24&amp;"_"&amp;AD$7,Table2[],6,0),"")</f>
        <v/>
      </c>
      <c r="AE24" s="22" t="str">
        <f>IFERROR(VLOOKUP($A24&amp;"_"&amp;AE$7,Table2[],6,0),"")</f>
        <v/>
      </c>
      <c r="AF24" s="22" t="str">
        <f>IFERROR(VLOOKUP($A24&amp;"_"&amp;AF$7,Table2[],6,0),"")</f>
        <v/>
      </c>
      <c r="AG24" s="22" t="str">
        <f>IFERROR(VLOOKUP($A24&amp;"_"&amp;AG$7,Table2[],6,0),"")</f>
        <v/>
      </c>
      <c r="AH24" s="22" t="str">
        <f>IFERROR(VLOOKUP($A24&amp;"_"&amp;AH$7,Table2[],6,0),"")</f>
        <v/>
      </c>
      <c r="AI24" s="22" t="str">
        <f>IFERROR(VLOOKUP($A24&amp;"_"&amp;AI$7,Table2[],6,0),"")</f>
        <v/>
      </c>
      <c r="AJ24" s="22" t="str">
        <f>IFERROR(VLOOKUP($A24&amp;"_"&amp;AJ$7,Table2[],6,0),"")</f>
        <v/>
      </c>
      <c r="AK24" s="22" t="str">
        <f>IFERROR(VLOOKUP($A24&amp;"_"&amp;AK$7,Table2[],6,0),"")</f>
        <v/>
      </c>
      <c r="AL24" s="22" t="str">
        <f>IFERROR(VLOOKUP($A24&amp;"_"&amp;AL$7,Table2[],6,0),"")</f>
        <v/>
      </c>
    </row>
    <row r="25" spans="1:38" x14ac:dyDescent="0.25">
      <c r="A25" s="34">
        <v>1749</v>
      </c>
      <c r="B25" s="22" t="str">
        <f>IF('Employee Master'!B19="","",'Employee Master'!B19)</f>
        <v>Timotheo Waweru</v>
      </c>
      <c r="C25" s="22" t="str">
        <f>IF('Employee Master'!C19="","",'Employee Master'!C19)</f>
        <v/>
      </c>
      <c r="D25" s="22">
        <f t="shared" si="2"/>
        <v>3</v>
      </c>
      <c r="E25" s="22">
        <f t="shared" si="3"/>
        <v>1</v>
      </c>
      <c r="F25" s="22">
        <f t="shared" si="4"/>
        <v>1</v>
      </c>
      <c r="G25" s="22">
        <f t="shared" si="1"/>
        <v>1</v>
      </c>
      <c r="H25" s="22" t="str">
        <f>IFERROR(VLOOKUP($A25&amp;"_"&amp;H$7,Table2[],6,0),"")</f>
        <v/>
      </c>
      <c r="I25" s="22" t="str">
        <f>IFERROR(VLOOKUP($A25&amp;"_"&amp;I$7,Table2[],6,0),"")</f>
        <v/>
      </c>
      <c r="J25" s="22" t="str">
        <f>IFERROR(VLOOKUP($A25&amp;"_"&amp;J$7,Table2[],6,0),"")</f>
        <v>A</v>
      </c>
      <c r="K25" s="22" t="str">
        <f>IFERROR(VLOOKUP($A25&amp;"_"&amp;K$7,Table2[],6,0),"")</f>
        <v>P</v>
      </c>
      <c r="L25" s="22" t="str">
        <f>IFERROR(VLOOKUP($A25&amp;"_"&amp;L$7,Table2[],6,0),"")</f>
        <v>L</v>
      </c>
      <c r="M25" s="22" t="str">
        <f>IFERROR(VLOOKUP($A25&amp;"_"&amp;M$7,Table2[],6,0),"")</f>
        <v>SL</v>
      </c>
      <c r="N25" s="22" t="str">
        <f>IFERROR(VLOOKUP($A25&amp;"_"&amp;N$7,Table2[],6,0),"")</f>
        <v>P</v>
      </c>
      <c r="O25" s="22" t="str">
        <f>IFERROR(VLOOKUP($A25&amp;"_"&amp;O$7,Table2[],6,0),"")</f>
        <v>p</v>
      </c>
      <c r="P25" s="22" t="str">
        <f>IFERROR(VLOOKUP($A25&amp;"_"&amp;P$7,Table2[],6,0),"")</f>
        <v/>
      </c>
      <c r="Q25" s="22" t="str">
        <f>IFERROR(VLOOKUP($A25&amp;"_"&amp;Q$7,Table2[],6,0),"")</f>
        <v/>
      </c>
      <c r="R25" s="22" t="str">
        <f>IFERROR(VLOOKUP($A25&amp;"_"&amp;R$7,Table2[],6,0),"")</f>
        <v/>
      </c>
      <c r="S25" s="22" t="str">
        <f>IFERROR(VLOOKUP($A25&amp;"_"&amp;S$7,Table2[],6,0),"")</f>
        <v/>
      </c>
      <c r="T25" s="22" t="str">
        <f>IFERROR(VLOOKUP($A25&amp;"_"&amp;T$7,Table2[],6,0),"")</f>
        <v/>
      </c>
      <c r="U25" s="22" t="str">
        <f>IFERROR(VLOOKUP($A25&amp;"_"&amp;U$7,Table2[],6,0),"")</f>
        <v/>
      </c>
      <c r="V25" s="22" t="str">
        <f>IFERROR(VLOOKUP($A25&amp;"_"&amp;V$7,Table2[],6,0),"")</f>
        <v/>
      </c>
      <c r="W25" s="22" t="str">
        <f>IFERROR(VLOOKUP($A25&amp;"_"&amp;W$7,Table2[],6,0),"")</f>
        <v/>
      </c>
      <c r="X25" s="22" t="str">
        <f>IFERROR(VLOOKUP($A25&amp;"_"&amp;X$7,Table2[],6,0),"")</f>
        <v/>
      </c>
      <c r="Y25" s="22" t="str">
        <f>IFERROR(VLOOKUP($A25&amp;"_"&amp;Y$7,Table2[],6,0),"")</f>
        <v/>
      </c>
      <c r="Z25" s="22" t="str">
        <f>IFERROR(VLOOKUP($A25&amp;"_"&amp;Z$7,Table2[],6,0),"")</f>
        <v/>
      </c>
      <c r="AA25" s="22" t="str">
        <f>IFERROR(VLOOKUP($A25&amp;"_"&amp;AA$7,Table2[],6,0),"")</f>
        <v/>
      </c>
      <c r="AB25" s="22" t="str">
        <f>IFERROR(VLOOKUP($A25&amp;"_"&amp;AB$7,Table2[],6,0),"")</f>
        <v/>
      </c>
      <c r="AC25" s="22" t="str">
        <f>IFERROR(VLOOKUP($A25&amp;"_"&amp;AC$7,Table2[],6,0),"")</f>
        <v/>
      </c>
      <c r="AD25" s="22" t="str">
        <f>IFERROR(VLOOKUP($A25&amp;"_"&amp;AD$7,Table2[],6,0),"")</f>
        <v/>
      </c>
      <c r="AE25" s="22" t="str">
        <f>IFERROR(VLOOKUP($A25&amp;"_"&amp;AE$7,Table2[],6,0),"")</f>
        <v/>
      </c>
      <c r="AF25" s="22" t="str">
        <f>IFERROR(VLOOKUP($A25&amp;"_"&amp;AF$7,Table2[],6,0),"")</f>
        <v/>
      </c>
      <c r="AG25" s="22" t="str">
        <f>IFERROR(VLOOKUP($A25&amp;"_"&amp;AG$7,Table2[],6,0),"")</f>
        <v/>
      </c>
      <c r="AH25" s="22" t="str">
        <f>IFERROR(VLOOKUP($A25&amp;"_"&amp;AH$7,Table2[],6,0),"")</f>
        <v/>
      </c>
      <c r="AI25" s="22" t="str">
        <f>IFERROR(VLOOKUP($A25&amp;"_"&amp;AI$7,Table2[],6,0),"")</f>
        <v/>
      </c>
      <c r="AJ25" s="22" t="str">
        <f>IFERROR(VLOOKUP($A25&amp;"_"&amp;AJ$7,Table2[],6,0),"")</f>
        <v/>
      </c>
      <c r="AK25" s="22" t="str">
        <f>IFERROR(VLOOKUP($A25&amp;"_"&amp;AK$7,Table2[],6,0),"")</f>
        <v/>
      </c>
      <c r="AL25" s="22" t="str">
        <f>IFERROR(VLOOKUP($A25&amp;"_"&amp;AL$7,Table2[],6,0),"")</f>
        <v/>
      </c>
    </row>
    <row r="26" spans="1:38" ht="15.75" customHeight="1" x14ac:dyDescent="0.25">
      <c r="A26" s="34">
        <v>2257</v>
      </c>
      <c r="B26" s="31" t="str">
        <f>IF('Employee Master'!B20="","",'Employee Master'!B20)</f>
        <v>Winfred Wambua</v>
      </c>
      <c r="C26" s="31" t="str">
        <f>IF('Employee Master'!C20="","",'Employee Master'!C20)</f>
        <v/>
      </c>
      <c r="D26" s="31">
        <f t="shared" si="2"/>
        <v>3</v>
      </c>
      <c r="E26" s="31">
        <f t="shared" si="3"/>
        <v>1</v>
      </c>
      <c r="F26" s="31">
        <f t="shared" si="4"/>
        <v>2</v>
      </c>
      <c r="G26" s="31">
        <f t="shared" si="1"/>
        <v>0</v>
      </c>
      <c r="H26" s="31" t="str">
        <f>IFERROR(VLOOKUP($A26&amp;"_"&amp;H$7,Table2[],6,0),"")</f>
        <v/>
      </c>
      <c r="I26" s="31" t="str">
        <f>IFERROR(VLOOKUP($A26&amp;"_"&amp;I$7,Table2[],6,0),"")</f>
        <v/>
      </c>
      <c r="J26" s="31" t="str">
        <f>IFERROR(VLOOKUP($A26&amp;"_"&amp;J$7,Table2[],6,0),"")</f>
        <v>A</v>
      </c>
      <c r="K26" s="31" t="str">
        <f>IFERROR(VLOOKUP($A26&amp;"_"&amp;K$7,Table2[],6,0),"")</f>
        <v>P</v>
      </c>
      <c r="L26" s="31" t="str">
        <f>IFERROR(VLOOKUP($A26&amp;"_"&amp;L$7,Table2[],6,0),"")</f>
        <v>L</v>
      </c>
      <c r="M26" s="31" t="str">
        <f>IFERROR(VLOOKUP($A26&amp;"_"&amp;M$7,Table2[],6,0),"")</f>
        <v>L</v>
      </c>
      <c r="N26" s="31" t="str">
        <f>IFERROR(VLOOKUP($A26&amp;"_"&amp;N$7,Table2[],6,0),"")</f>
        <v>P</v>
      </c>
      <c r="O26" s="31" t="str">
        <f>IFERROR(VLOOKUP($A26&amp;"_"&amp;O$7,Table2[],6,0),"")</f>
        <v>p</v>
      </c>
      <c r="P26" s="31" t="str">
        <f>IFERROR(VLOOKUP($A26&amp;"_"&amp;P$7,Table2[],6,0),"")</f>
        <v/>
      </c>
      <c r="Q26" s="31" t="str">
        <f>IFERROR(VLOOKUP($A26&amp;"_"&amp;Q$7,Table2[],6,0),"")</f>
        <v/>
      </c>
      <c r="R26" s="31" t="str">
        <f>IFERROR(VLOOKUP($A26&amp;"_"&amp;R$7,Table2[],6,0),"")</f>
        <v/>
      </c>
      <c r="S26" s="31" t="str">
        <f>IFERROR(VLOOKUP($A26&amp;"_"&amp;S$7,Table2[],6,0),"")</f>
        <v/>
      </c>
      <c r="T26" s="31" t="str">
        <f>IFERROR(VLOOKUP($A26&amp;"_"&amp;T$7,Table2[],6,0),"")</f>
        <v/>
      </c>
      <c r="U26" s="31" t="str">
        <f>IFERROR(VLOOKUP($A26&amp;"_"&amp;U$7,Table2[],6,0),"")</f>
        <v/>
      </c>
      <c r="V26" s="31" t="str">
        <f>IFERROR(VLOOKUP($A26&amp;"_"&amp;V$7,Table2[],6,0),"")</f>
        <v/>
      </c>
      <c r="W26" s="31" t="str">
        <f>IFERROR(VLOOKUP($A26&amp;"_"&amp;W$7,Table2[],6,0),"")</f>
        <v/>
      </c>
      <c r="X26" s="31" t="str">
        <f>IFERROR(VLOOKUP($A26&amp;"_"&amp;X$7,Table2[],6,0),"")</f>
        <v/>
      </c>
      <c r="Y26" s="31" t="str">
        <f>IFERROR(VLOOKUP($A26&amp;"_"&amp;Y$7,Table2[],6,0),"")</f>
        <v/>
      </c>
      <c r="Z26" s="31" t="str">
        <f>IFERROR(VLOOKUP($A26&amp;"_"&amp;Z$7,Table2[],6,0),"")</f>
        <v/>
      </c>
      <c r="AA26" s="31" t="str">
        <f>IFERROR(VLOOKUP($A26&amp;"_"&amp;AA$7,Table2[],6,0),"")</f>
        <v/>
      </c>
      <c r="AB26" s="31" t="str">
        <f>IFERROR(VLOOKUP($A26&amp;"_"&amp;AB$7,Table2[],6,0),"")</f>
        <v/>
      </c>
      <c r="AC26" s="31" t="str">
        <f>IFERROR(VLOOKUP($A26&amp;"_"&amp;AC$7,Table2[],6,0),"")</f>
        <v/>
      </c>
      <c r="AD26" s="31" t="str">
        <f>IFERROR(VLOOKUP($A26&amp;"_"&amp;AD$7,Table2[],6,0),"")</f>
        <v/>
      </c>
      <c r="AE26" s="31" t="str">
        <f>IFERROR(VLOOKUP($A26&amp;"_"&amp;AE$7,Table2[],6,0),"")</f>
        <v/>
      </c>
      <c r="AF26" s="31" t="str">
        <f>IFERROR(VLOOKUP($A26&amp;"_"&amp;AF$7,Table2[],6,0),"")</f>
        <v/>
      </c>
      <c r="AG26" s="31" t="str">
        <f>IFERROR(VLOOKUP($A26&amp;"_"&amp;AG$7,Table2[],6,0),"")</f>
        <v/>
      </c>
      <c r="AH26" s="31" t="str">
        <f>IFERROR(VLOOKUP($A26&amp;"_"&amp;AH$7,Table2[],6,0),"")</f>
        <v/>
      </c>
      <c r="AI26" s="31" t="str">
        <f>IFERROR(VLOOKUP($A26&amp;"_"&amp;AI$7,Table2[],6,0),"")</f>
        <v/>
      </c>
      <c r="AJ26" s="31" t="str">
        <f>IFERROR(VLOOKUP($A26&amp;"_"&amp;AJ$7,Table2[],6,0),"")</f>
        <v/>
      </c>
      <c r="AK26" s="31" t="str">
        <f>IFERROR(VLOOKUP($A26&amp;"_"&amp;AK$7,Table2[],6,0),"")</f>
        <v/>
      </c>
      <c r="AL26" s="31" t="str">
        <f>IFERROR(VLOOKUP($A26&amp;"_"&amp;AL$7,Table2[],6,0),"")</f>
        <v/>
      </c>
    </row>
    <row r="27" spans="1:38" x14ac:dyDescent="0.25">
      <c r="A27" s="22"/>
      <c r="B27" s="22" t="str">
        <f>IF('Employee Master'!B21="","",'Employee Master'!B21)</f>
        <v/>
      </c>
      <c r="C27" s="22" t="str">
        <f>IF('Employee Master'!C21="","",'Employee Master'!C21)</f>
        <v/>
      </c>
      <c r="H27" t="str">
        <f>IFERROR(VLOOKUP(#REF!&amp;"_"&amp;H$7,Database!#REF!,6,0),"")</f>
        <v/>
      </c>
      <c r="I27" t="str">
        <f>IFERROR(VLOOKUP(#REF!&amp;"_"&amp;I$7,Database!#REF!,6,0),"")</f>
        <v/>
      </c>
      <c r="J27" t="str">
        <f>IFERROR(VLOOKUP(#REF!&amp;"_"&amp;J$7,Database!#REF!,6,0),"")</f>
        <v/>
      </c>
      <c r="K27" t="str">
        <f>IFERROR(VLOOKUP(#REF!&amp;"_"&amp;K$7,Database!#REF!,6,0),"")</f>
        <v/>
      </c>
      <c r="L27" t="str">
        <f>IFERROR(VLOOKUP(#REF!&amp;"_"&amp;L$7,Database!#REF!,6,0),"")</f>
        <v/>
      </c>
      <c r="M27" t="str">
        <f>IFERROR(VLOOKUP(#REF!&amp;"_"&amp;M$7,Database!#REF!,6,0),"")</f>
        <v/>
      </c>
      <c r="N27" t="str">
        <f>IFERROR(VLOOKUP(#REF!&amp;"_"&amp;N$7,Database!#REF!,6,0),"")</f>
        <v/>
      </c>
      <c r="O27" t="str">
        <f>IFERROR(VLOOKUP(#REF!&amp;"_"&amp;O$7,Database!#REF!,6,0),"")</f>
        <v/>
      </c>
      <c r="P27" t="str">
        <f>IFERROR(VLOOKUP(#REF!&amp;"_"&amp;P$7,Database!#REF!,6,0),"")</f>
        <v/>
      </c>
      <c r="Q27" t="str">
        <f>IFERROR(VLOOKUP(#REF!&amp;"_"&amp;Q$7,Database!#REF!,6,0),"")</f>
        <v/>
      </c>
      <c r="R27" t="str">
        <f>IFERROR(VLOOKUP(#REF!&amp;"_"&amp;R$7,Database!#REF!,6,0),"")</f>
        <v/>
      </c>
      <c r="S27" t="str">
        <f>IFERROR(VLOOKUP(#REF!&amp;"_"&amp;S$7,Database!#REF!,6,0),"")</f>
        <v/>
      </c>
      <c r="T27" t="str">
        <f>IFERROR(VLOOKUP(#REF!&amp;"_"&amp;T$7,Database!#REF!,6,0),"")</f>
        <v/>
      </c>
      <c r="U27" t="str">
        <f>IFERROR(VLOOKUP(#REF!&amp;"_"&amp;U$7,Database!#REF!,6,0),"")</f>
        <v/>
      </c>
      <c r="V27" t="str">
        <f>IFERROR(VLOOKUP(#REF!&amp;"_"&amp;V$7,Database!#REF!,6,0),"")</f>
        <v/>
      </c>
      <c r="W27" t="str">
        <f>IFERROR(VLOOKUP(#REF!&amp;"_"&amp;W$7,Database!#REF!,6,0),"")</f>
        <v/>
      </c>
      <c r="X27" t="str">
        <f>IFERROR(VLOOKUP(#REF!&amp;"_"&amp;X$7,Database!#REF!,6,0),"")</f>
        <v/>
      </c>
      <c r="Y27" t="str">
        <f>IFERROR(VLOOKUP(#REF!&amp;"_"&amp;Y$7,Database!#REF!,6,0),"")</f>
        <v/>
      </c>
      <c r="Z27" t="str">
        <f>IFERROR(VLOOKUP(#REF!&amp;"_"&amp;Z$7,Database!#REF!,6,0),"")</f>
        <v/>
      </c>
      <c r="AA27" t="str">
        <f>IFERROR(VLOOKUP(#REF!&amp;"_"&amp;AA$7,Database!#REF!,6,0),"")</f>
        <v/>
      </c>
      <c r="AB27" t="str">
        <f>IFERROR(VLOOKUP(#REF!&amp;"_"&amp;AB$7,Database!#REF!,6,0),"")</f>
        <v/>
      </c>
      <c r="AC27" t="str">
        <f>IFERROR(VLOOKUP(#REF!&amp;"_"&amp;AC$7,Database!#REF!,6,0),"")</f>
        <v/>
      </c>
      <c r="AD27" t="str">
        <f>IFERROR(VLOOKUP(#REF!&amp;"_"&amp;AD$7,Database!#REF!,6,0),"")</f>
        <v/>
      </c>
      <c r="AE27" t="str">
        <f>IFERROR(VLOOKUP(#REF!&amp;"_"&amp;AE$7,Database!#REF!,6,0),"")</f>
        <v/>
      </c>
      <c r="AF27" t="str">
        <f>IFERROR(VLOOKUP(#REF!&amp;"_"&amp;AF$7,Database!#REF!,6,0),"")</f>
        <v/>
      </c>
      <c r="AG27" t="str">
        <f>IFERROR(VLOOKUP(#REF!&amp;"_"&amp;AG$7,Database!#REF!,6,0),"")</f>
        <v/>
      </c>
      <c r="AH27" t="str">
        <f>IFERROR(VLOOKUP(#REF!&amp;"_"&amp;AH$7,Database!#REF!,6,0),"")</f>
        <v/>
      </c>
      <c r="AI27" t="str">
        <f>IFERROR(VLOOKUP(#REF!&amp;"_"&amp;AI$7,Database!#REF!,6,0),"")</f>
        <v/>
      </c>
      <c r="AJ27" t="str">
        <f>IFERROR(VLOOKUP(#REF!&amp;"_"&amp;AJ$7,Database!#REF!,6,0),"")</f>
        <v/>
      </c>
      <c r="AK27" t="str">
        <f>IFERROR(VLOOKUP(#REF!&amp;"_"&amp;AK$7,Database!#REF!,6,0),"")</f>
        <v/>
      </c>
      <c r="AL27" t="str">
        <f>IFERROR(VLOOKUP(#REF!&amp;"_"&amp;AL$7,Database!#REF!,6,0),"")</f>
        <v/>
      </c>
    </row>
    <row r="28" spans="1:38" x14ac:dyDescent="0.25">
      <c r="B28" t="str">
        <f>IF('Employee Master'!B22="","",'Employee Master'!B22)</f>
        <v/>
      </c>
      <c r="G28" t="str">
        <f>IFERROR(VLOOKUP(#REF!&amp;"_"&amp;H$7,Database!#REF!,6,0),"")</f>
        <v/>
      </c>
      <c r="H28" t="str">
        <f>IFERROR(VLOOKUP(#REF!&amp;"_"&amp;I$7,Database!#REF!,6,0),"")</f>
        <v/>
      </c>
      <c r="I28" t="str">
        <f>IFERROR(VLOOKUP(#REF!&amp;"_"&amp;J$7,Database!#REF!,6,0),"")</f>
        <v/>
      </c>
      <c r="J28" t="str">
        <f>IFERROR(VLOOKUP(#REF!&amp;"_"&amp;K$7,Database!#REF!,6,0),"")</f>
        <v/>
      </c>
      <c r="K28" t="str">
        <f>IFERROR(VLOOKUP(#REF!&amp;"_"&amp;L$7,Database!#REF!,6,0),"")</f>
        <v/>
      </c>
      <c r="L28" t="str">
        <f>IFERROR(VLOOKUP(#REF!&amp;"_"&amp;M$7,Database!#REF!,6,0),"")</f>
        <v/>
      </c>
      <c r="M28" t="str">
        <f>IFERROR(VLOOKUP(#REF!&amp;"_"&amp;N$7,Database!#REF!,6,0),"")</f>
        <v/>
      </c>
      <c r="N28" s="18" t="str">
        <f>IFERROR(VLOOKUP(#REF!&amp;"_"&amp;O$7,Database!#REF!,6,0),"")</f>
        <v/>
      </c>
      <c r="O28" t="str">
        <f>IFERROR(VLOOKUP(#REF!&amp;"_"&amp;P$7,Database!#REF!,6,0),"")</f>
        <v/>
      </c>
      <c r="P28" t="str">
        <f>IFERROR(VLOOKUP(#REF!&amp;"_"&amp;Q$7,Database!#REF!,6,0),"")</f>
        <v/>
      </c>
      <c r="Q28" t="str">
        <f>IFERROR(VLOOKUP(#REF!&amp;"_"&amp;R$7,Database!#REF!,6,0),"")</f>
        <v/>
      </c>
      <c r="R28" t="str">
        <f>IFERROR(VLOOKUP(#REF!&amp;"_"&amp;S$7,Database!#REF!,6,0),"")</f>
        <v/>
      </c>
      <c r="S28" t="str">
        <f>IFERROR(VLOOKUP(#REF!&amp;"_"&amp;T$7,Database!#REF!,6,0),"")</f>
        <v/>
      </c>
      <c r="T28" t="str">
        <f>IFERROR(VLOOKUP(#REF!&amp;"_"&amp;U$7,Database!#REF!,6,0),"")</f>
        <v/>
      </c>
      <c r="U28" t="str">
        <f>IFERROR(VLOOKUP(#REF!&amp;"_"&amp;V$7,Database!#REF!,6,0),"")</f>
        <v/>
      </c>
      <c r="V28" t="str">
        <f>IFERROR(VLOOKUP(#REF!&amp;"_"&amp;W$7,Database!#REF!,6,0),"")</f>
        <v/>
      </c>
      <c r="W28" t="str">
        <f>IFERROR(VLOOKUP(#REF!&amp;"_"&amp;X$7,Database!#REF!,6,0),"")</f>
        <v/>
      </c>
      <c r="X28" t="str">
        <f>IFERROR(VLOOKUP(#REF!&amp;"_"&amp;Y$7,Database!#REF!,6,0),"")</f>
        <v/>
      </c>
      <c r="Y28" t="str">
        <f>IFERROR(VLOOKUP(#REF!&amp;"_"&amp;Z$7,Database!#REF!,6,0),"")</f>
        <v/>
      </c>
      <c r="Z28" t="str">
        <f>IFERROR(VLOOKUP(#REF!&amp;"_"&amp;AA$7,Database!#REF!,6,0),"")</f>
        <v/>
      </c>
      <c r="AA28" t="str">
        <f>IFERROR(VLOOKUP(#REF!&amp;"_"&amp;AB$7,Database!#REF!,6,0),"")</f>
        <v/>
      </c>
      <c r="AB28" t="str">
        <f>IFERROR(VLOOKUP(#REF!&amp;"_"&amp;AC$7,Database!#REF!,6,0),"")</f>
        <v/>
      </c>
      <c r="AC28" t="str">
        <f>IFERROR(VLOOKUP(#REF!&amp;"_"&amp;AD$7,Database!#REF!,6,0),"")</f>
        <v/>
      </c>
      <c r="AD28" t="str">
        <f>IFERROR(VLOOKUP(#REF!&amp;"_"&amp;AE$7,Database!#REF!,6,0),"")</f>
        <v/>
      </c>
      <c r="AE28" t="str">
        <f>IFERROR(VLOOKUP(#REF!&amp;"_"&amp;AF$7,Database!#REF!,6,0),"")</f>
        <v/>
      </c>
      <c r="AF28" t="str">
        <f>IFERROR(VLOOKUP(#REF!&amp;"_"&amp;AG$7,Database!#REF!,6,0),"")</f>
        <v/>
      </c>
      <c r="AG28" t="str">
        <f>IFERROR(VLOOKUP(#REF!&amp;"_"&amp;AH$7,Database!#REF!,6,0),"")</f>
        <v/>
      </c>
      <c r="AH28" t="str">
        <f>IFERROR(VLOOKUP(#REF!&amp;"_"&amp;AI$7,Database!#REF!,6,0),"")</f>
        <v/>
      </c>
      <c r="AI28" t="str">
        <f>IFERROR(VLOOKUP(#REF!&amp;"_"&amp;AJ$7,Database!#REF!,6,0),"")</f>
        <v/>
      </c>
      <c r="AJ28" t="str">
        <f>IFERROR(VLOOKUP(#REF!&amp;"_"&amp;AK$7,Database!#REF!,6,0),"")</f>
        <v/>
      </c>
      <c r="AK28" t="str">
        <f>IFERROR(VLOOKUP(#REF!&amp;"_"&amp;AL$7,Database!#REF!,6,0),"")</f>
        <v/>
      </c>
    </row>
    <row r="29" spans="1:38" x14ac:dyDescent="0.25">
      <c r="B29" t="str">
        <f>IF('Employee Master'!B23="","",'Employee Master'!B23)</f>
        <v/>
      </c>
      <c r="G29" t="str">
        <f>IFERROR(VLOOKUP(#REF!&amp;"_"&amp;H$7,Database!#REF!,6,0),"")</f>
        <v/>
      </c>
      <c r="H29" t="str">
        <f>IFERROR(VLOOKUP(#REF!&amp;"_"&amp;I$7,Database!#REF!,6,0),"")</f>
        <v/>
      </c>
      <c r="I29" t="str">
        <f>IFERROR(VLOOKUP(#REF!&amp;"_"&amp;J$7,Database!#REF!,6,0),"")</f>
        <v/>
      </c>
      <c r="J29" t="str">
        <f>IFERROR(VLOOKUP(#REF!&amp;"_"&amp;K$7,Database!#REF!,6,0),"")</f>
        <v/>
      </c>
      <c r="K29" t="str">
        <f>IFERROR(VLOOKUP(#REF!&amp;"_"&amp;L$7,Database!#REF!,6,0),"")</f>
        <v/>
      </c>
      <c r="L29" t="str">
        <f>IFERROR(VLOOKUP(#REF!&amp;"_"&amp;M$7,Database!#REF!,6,0),"")</f>
        <v/>
      </c>
      <c r="M29" t="str">
        <f>IFERROR(VLOOKUP(#REF!&amp;"_"&amp;N$7,Database!#REF!,6,0),"")</f>
        <v/>
      </c>
      <c r="N29" t="str">
        <f>IFERROR(VLOOKUP(#REF!&amp;"_"&amp;O$7,Database!#REF!,6,0),"")</f>
        <v/>
      </c>
      <c r="O29" t="str">
        <f>IFERROR(VLOOKUP(#REF!&amp;"_"&amp;P$7,Database!#REF!,6,0),"")</f>
        <v/>
      </c>
      <c r="P29" t="str">
        <f>IFERROR(VLOOKUP(#REF!&amp;"_"&amp;Q$7,Database!#REF!,6,0),"")</f>
        <v/>
      </c>
      <c r="Q29" t="str">
        <f>IFERROR(VLOOKUP(#REF!&amp;"_"&amp;R$7,Database!#REF!,6,0),"")</f>
        <v/>
      </c>
      <c r="R29" t="str">
        <f>IFERROR(VLOOKUP(#REF!&amp;"_"&amp;S$7,Database!#REF!,6,0),"")</f>
        <v/>
      </c>
      <c r="S29" t="str">
        <f>IFERROR(VLOOKUP(#REF!&amp;"_"&amp;T$7,Database!#REF!,6,0),"")</f>
        <v/>
      </c>
      <c r="T29" t="str">
        <f>IFERROR(VLOOKUP(#REF!&amp;"_"&amp;U$7,Database!#REF!,6,0),"")</f>
        <v/>
      </c>
      <c r="U29" t="str">
        <f>IFERROR(VLOOKUP(#REF!&amp;"_"&amp;V$7,Database!#REF!,6,0),"")</f>
        <v/>
      </c>
      <c r="V29" t="str">
        <f>IFERROR(VLOOKUP(#REF!&amp;"_"&amp;W$7,Database!#REF!,6,0),"")</f>
        <v/>
      </c>
      <c r="W29" t="str">
        <f>IFERROR(VLOOKUP(#REF!&amp;"_"&amp;X$7,Database!#REF!,6,0),"")</f>
        <v/>
      </c>
      <c r="X29" t="str">
        <f>IFERROR(VLOOKUP(#REF!&amp;"_"&amp;Y$7,Database!#REF!,6,0),"")</f>
        <v/>
      </c>
      <c r="Y29" t="str">
        <f>IFERROR(VLOOKUP(#REF!&amp;"_"&amp;Z$7,Database!#REF!,6,0),"")</f>
        <v/>
      </c>
      <c r="Z29" t="str">
        <f>IFERROR(VLOOKUP(#REF!&amp;"_"&amp;AA$7,Database!#REF!,6,0),"")</f>
        <v/>
      </c>
      <c r="AA29" t="str">
        <f>IFERROR(VLOOKUP(#REF!&amp;"_"&amp;AB$7,Database!#REF!,6,0),"")</f>
        <v/>
      </c>
      <c r="AB29" t="str">
        <f>IFERROR(VLOOKUP(#REF!&amp;"_"&amp;AC$7,Database!#REF!,6,0),"")</f>
        <v/>
      </c>
      <c r="AC29" t="str">
        <f>IFERROR(VLOOKUP(#REF!&amp;"_"&amp;AD$7,Database!#REF!,6,0),"")</f>
        <v/>
      </c>
      <c r="AD29" t="str">
        <f>IFERROR(VLOOKUP(#REF!&amp;"_"&amp;AE$7,Database!#REF!,6,0),"")</f>
        <v/>
      </c>
      <c r="AE29" t="str">
        <f>IFERROR(VLOOKUP(#REF!&amp;"_"&amp;AF$7,Database!#REF!,6,0),"")</f>
        <v/>
      </c>
      <c r="AF29" t="str">
        <f>IFERROR(VLOOKUP(#REF!&amp;"_"&amp;AG$7,Database!#REF!,6,0),"")</f>
        <v/>
      </c>
      <c r="AG29" t="str">
        <f>IFERROR(VLOOKUP(#REF!&amp;"_"&amp;AH$7,Database!#REF!,6,0),"")</f>
        <v/>
      </c>
      <c r="AH29" t="str">
        <f>IFERROR(VLOOKUP(#REF!&amp;"_"&amp;AI$7,Database!#REF!,6,0),"")</f>
        <v/>
      </c>
      <c r="AI29" t="str">
        <f>IFERROR(VLOOKUP(#REF!&amp;"_"&amp;AJ$7,Database!#REF!,6,0),"")</f>
        <v/>
      </c>
      <c r="AJ29" t="str">
        <f>IFERROR(VLOOKUP(#REF!&amp;"_"&amp;AK$7,Database!#REF!,6,0),"")</f>
        <v/>
      </c>
      <c r="AK29" t="str">
        <f>IFERROR(VLOOKUP(#REF!&amp;"_"&amp;AL$7,Database!#REF!,6,0),"")</f>
        <v/>
      </c>
    </row>
    <row r="30" spans="1:38" x14ac:dyDescent="0.25">
      <c r="B30" t="str">
        <f>IF('Employee Master'!B24="","",'Employee Master'!B24)</f>
        <v/>
      </c>
      <c r="G30" t="str">
        <f>IFERROR(VLOOKUP(#REF!&amp;"_"&amp;H$7,Database!#REF!,6,0),"")</f>
        <v/>
      </c>
      <c r="H30" t="str">
        <f>IFERROR(VLOOKUP(#REF!&amp;"_"&amp;I$7,Database!#REF!,6,0),"")</f>
        <v/>
      </c>
      <c r="I30" t="str">
        <f>IFERROR(VLOOKUP(#REF!&amp;"_"&amp;J$7,Database!#REF!,6,0),"")</f>
        <v/>
      </c>
      <c r="J30" t="str">
        <f>IFERROR(VLOOKUP(#REF!&amp;"_"&amp;K$7,Database!#REF!,6,0),"")</f>
        <v/>
      </c>
      <c r="K30" t="str">
        <f>IFERROR(VLOOKUP(#REF!&amp;"_"&amp;L$7,Database!#REF!,6,0),"")</f>
        <v/>
      </c>
      <c r="L30" t="str">
        <f>IFERROR(VLOOKUP(#REF!&amp;"_"&amp;M$7,Database!#REF!,6,0),"")</f>
        <v/>
      </c>
      <c r="M30" t="str">
        <f>IFERROR(VLOOKUP(#REF!&amp;"_"&amp;N$7,Database!#REF!,6,0),"")</f>
        <v/>
      </c>
      <c r="N30" t="str">
        <f>IFERROR(VLOOKUP(#REF!&amp;"_"&amp;O$7,Database!#REF!,6,0),"")</f>
        <v/>
      </c>
      <c r="O30" t="str">
        <f>IFERROR(VLOOKUP(#REF!&amp;"_"&amp;P$7,Database!#REF!,6,0),"")</f>
        <v/>
      </c>
      <c r="P30" t="str">
        <f>IFERROR(VLOOKUP(#REF!&amp;"_"&amp;Q$7,Database!#REF!,6,0),"")</f>
        <v/>
      </c>
      <c r="Q30" t="str">
        <f>IFERROR(VLOOKUP(#REF!&amp;"_"&amp;R$7,Database!#REF!,6,0),"")</f>
        <v/>
      </c>
      <c r="R30" t="str">
        <f>IFERROR(VLOOKUP(#REF!&amp;"_"&amp;S$7,Database!#REF!,6,0),"")</f>
        <v/>
      </c>
      <c r="S30" t="str">
        <f>IFERROR(VLOOKUP(#REF!&amp;"_"&amp;T$7,Database!#REF!,6,0),"")</f>
        <v/>
      </c>
      <c r="T30" t="str">
        <f>IFERROR(VLOOKUP(#REF!&amp;"_"&amp;U$7,Database!#REF!,6,0),"")</f>
        <v/>
      </c>
      <c r="U30" t="str">
        <f>IFERROR(VLOOKUP(#REF!&amp;"_"&amp;V$7,Database!#REF!,6,0),"")</f>
        <v/>
      </c>
      <c r="V30" t="str">
        <f>IFERROR(VLOOKUP(#REF!&amp;"_"&amp;W$7,Database!#REF!,6,0),"")</f>
        <v/>
      </c>
      <c r="W30" t="str">
        <f>IFERROR(VLOOKUP(#REF!&amp;"_"&amp;X$7,Database!#REF!,6,0),"")</f>
        <v/>
      </c>
      <c r="X30" t="str">
        <f>IFERROR(VLOOKUP(#REF!&amp;"_"&amp;Y$7,Database!#REF!,6,0),"")</f>
        <v/>
      </c>
      <c r="Y30" t="str">
        <f>IFERROR(VLOOKUP(#REF!&amp;"_"&amp;Z$7,Database!#REF!,6,0),"")</f>
        <v/>
      </c>
      <c r="Z30" t="str">
        <f>IFERROR(VLOOKUP(#REF!&amp;"_"&amp;AA$7,Database!#REF!,6,0),"")</f>
        <v/>
      </c>
      <c r="AA30" t="str">
        <f>IFERROR(VLOOKUP(#REF!&amp;"_"&amp;AB$7,Database!#REF!,6,0),"")</f>
        <v/>
      </c>
      <c r="AB30" t="str">
        <f>IFERROR(VLOOKUP(#REF!&amp;"_"&amp;AC$7,Database!#REF!,6,0),"")</f>
        <v/>
      </c>
      <c r="AC30" t="str">
        <f>IFERROR(VLOOKUP(#REF!&amp;"_"&amp;AD$7,Database!#REF!,6,0),"")</f>
        <v/>
      </c>
      <c r="AD30" t="str">
        <f>IFERROR(VLOOKUP(#REF!&amp;"_"&amp;AE$7,Database!#REF!,6,0),"")</f>
        <v/>
      </c>
      <c r="AE30" t="str">
        <f>IFERROR(VLOOKUP(#REF!&amp;"_"&amp;AF$7,Database!#REF!,6,0),"")</f>
        <v/>
      </c>
      <c r="AF30" t="str">
        <f>IFERROR(VLOOKUP(#REF!&amp;"_"&amp;AG$7,Database!#REF!,6,0),"")</f>
        <v/>
      </c>
      <c r="AG30" t="str">
        <f>IFERROR(VLOOKUP(#REF!&amp;"_"&amp;AH$7,Database!#REF!,6,0),"")</f>
        <v/>
      </c>
      <c r="AH30" t="str">
        <f>IFERROR(VLOOKUP(#REF!&amp;"_"&amp;AI$7,Database!#REF!,6,0),"")</f>
        <v/>
      </c>
      <c r="AI30" t="str">
        <f>IFERROR(VLOOKUP(#REF!&amp;"_"&amp;AJ$7,Database!#REF!,6,0),"")</f>
        <v/>
      </c>
      <c r="AJ30" t="str">
        <f>IFERROR(VLOOKUP(#REF!&amp;"_"&amp;AK$7,Database!#REF!,6,0),"")</f>
        <v/>
      </c>
      <c r="AK30" t="str">
        <f>IFERROR(VLOOKUP(#REF!&amp;"_"&amp;AL$7,Database!#REF!,6,0),"")</f>
        <v/>
      </c>
    </row>
    <row r="31" spans="1:38" x14ac:dyDescent="0.25">
      <c r="B31" t="str">
        <f>IF('Employee Master'!B25="","",'Employee Master'!B25)</f>
        <v/>
      </c>
      <c r="G31" t="str">
        <f>IFERROR(VLOOKUP(#REF!&amp;"_"&amp;H$7,Database!#REF!,6,0),"")</f>
        <v/>
      </c>
      <c r="H31" t="str">
        <f>IFERROR(VLOOKUP(#REF!&amp;"_"&amp;I$7,Database!#REF!,6,0),"")</f>
        <v/>
      </c>
      <c r="I31" t="str">
        <f>IFERROR(VLOOKUP(#REF!&amp;"_"&amp;J$7,Database!#REF!,6,0),"")</f>
        <v/>
      </c>
      <c r="J31" t="str">
        <f>IFERROR(VLOOKUP(#REF!&amp;"_"&amp;K$7,Database!#REF!,6,0),"")</f>
        <v/>
      </c>
      <c r="K31" t="str">
        <f>IFERROR(VLOOKUP(#REF!&amp;"_"&amp;L$7,Database!#REF!,6,0),"")</f>
        <v/>
      </c>
      <c r="L31" t="str">
        <f>IFERROR(VLOOKUP(#REF!&amp;"_"&amp;M$7,Database!#REF!,6,0),"")</f>
        <v/>
      </c>
      <c r="M31" t="str">
        <f>IFERROR(VLOOKUP(#REF!&amp;"_"&amp;N$7,Database!#REF!,6,0),"")</f>
        <v/>
      </c>
      <c r="N31" t="str">
        <f>IFERROR(VLOOKUP(#REF!&amp;"_"&amp;O$7,Database!#REF!,6,0),"")</f>
        <v/>
      </c>
      <c r="O31" t="str">
        <f>IFERROR(VLOOKUP(#REF!&amp;"_"&amp;P$7,Database!#REF!,6,0),"")</f>
        <v/>
      </c>
      <c r="P31" t="str">
        <f>IFERROR(VLOOKUP(#REF!&amp;"_"&amp;Q$7,Database!#REF!,6,0),"")</f>
        <v/>
      </c>
      <c r="Q31" t="str">
        <f>IFERROR(VLOOKUP(#REF!&amp;"_"&amp;R$7,Database!#REF!,6,0),"")</f>
        <v/>
      </c>
      <c r="R31" t="str">
        <f>IFERROR(VLOOKUP(#REF!&amp;"_"&amp;S$7,Database!#REF!,6,0),"")</f>
        <v/>
      </c>
      <c r="S31" t="str">
        <f>IFERROR(VLOOKUP(#REF!&amp;"_"&amp;T$7,Database!#REF!,6,0),"")</f>
        <v/>
      </c>
      <c r="T31" t="str">
        <f>IFERROR(VLOOKUP(#REF!&amp;"_"&amp;U$7,Database!#REF!,6,0),"")</f>
        <v/>
      </c>
      <c r="U31" t="str">
        <f>IFERROR(VLOOKUP(#REF!&amp;"_"&amp;V$7,Database!#REF!,6,0),"")</f>
        <v/>
      </c>
      <c r="V31" t="str">
        <f>IFERROR(VLOOKUP(#REF!&amp;"_"&amp;W$7,Database!#REF!,6,0),"")</f>
        <v/>
      </c>
      <c r="W31" t="str">
        <f>IFERROR(VLOOKUP(#REF!&amp;"_"&amp;X$7,Database!#REF!,6,0),"")</f>
        <v/>
      </c>
      <c r="X31" t="str">
        <f>IFERROR(VLOOKUP(#REF!&amp;"_"&amp;Y$7,Database!#REF!,6,0),"")</f>
        <v/>
      </c>
      <c r="Y31" t="str">
        <f>IFERROR(VLOOKUP(#REF!&amp;"_"&amp;Z$7,Database!#REF!,6,0),"")</f>
        <v/>
      </c>
      <c r="Z31" t="str">
        <f>IFERROR(VLOOKUP(#REF!&amp;"_"&amp;AA$7,Database!#REF!,6,0),"")</f>
        <v/>
      </c>
      <c r="AA31" t="str">
        <f>IFERROR(VLOOKUP(#REF!&amp;"_"&amp;AB$7,Database!#REF!,6,0),"")</f>
        <v/>
      </c>
      <c r="AB31" t="str">
        <f>IFERROR(VLOOKUP(#REF!&amp;"_"&amp;AC$7,Database!#REF!,6,0),"")</f>
        <v/>
      </c>
      <c r="AC31" t="str">
        <f>IFERROR(VLOOKUP(#REF!&amp;"_"&amp;AD$7,Database!#REF!,6,0),"")</f>
        <v/>
      </c>
      <c r="AD31" t="str">
        <f>IFERROR(VLOOKUP(#REF!&amp;"_"&amp;AE$7,Database!#REF!,6,0),"")</f>
        <v/>
      </c>
      <c r="AE31" t="str">
        <f>IFERROR(VLOOKUP(#REF!&amp;"_"&amp;AF$7,Database!#REF!,6,0),"")</f>
        <v/>
      </c>
      <c r="AF31" t="str">
        <f>IFERROR(VLOOKUP(#REF!&amp;"_"&amp;AG$7,Database!#REF!,6,0),"")</f>
        <v/>
      </c>
      <c r="AG31" t="str">
        <f>IFERROR(VLOOKUP(#REF!&amp;"_"&amp;AH$7,Database!#REF!,6,0),"")</f>
        <v/>
      </c>
      <c r="AH31" t="str">
        <f>IFERROR(VLOOKUP(#REF!&amp;"_"&amp;AI$7,Database!#REF!,6,0),"")</f>
        <v/>
      </c>
      <c r="AI31" t="str">
        <f>IFERROR(VLOOKUP(#REF!&amp;"_"&amp;AJ$7,Database!#REF!,6,0),"")</f>
        <v/>
      </c>
      <c r="AJ31" t="str">
        <f>IFERROR(VLOOKUP(#REF!&amp;"_"&amp;AK$7,Database!#REF!,6,0),"")</f>
        <v/>
      </c>
      <c r="AK31" t="str">
        <f>IFERROR(VLOOKUP(#REF!&amp;"_"&amp;AL$7,Database!#REF!,6,0),"")</f>
        <v/>
      </c>
    </row>
    <row r="32" spans="1:38" x14ac:dyDescent="0.25">
      <c r="B32" t="str">
        <f>IF('Employee Master'!B26="","",'Employee Master'!B26)</f>
        <v/>
      </c>
      <c r="G32" t="str">
        <f>IFERROR(VLOOKUP(#REF!&amp;"_"&amp;H$7,Database!#REF!,6,0),"")</f>
        <v/>
      </c>
      <c r="H32" t="str">
        <f>IFERROR(VLOOKUP(#REF!&amp;"_"&amp;I$7,Database!#REF!,6,0),"")</f>
        <v/>
      </c>
      <c r="I32" t="str">
        <f>IFERROR(VLOOKUP(#REF!&amp;"_"&amp;J$7,Database!#REF!,6,0),"")</f>
        <v/>
      </c>
      <c r="J32" t="str">
        <f>IFERROR(VLOOKUP(#REF!&amp;"_"&amp;K$7,Database!#REF!,6,0),"")</f>
        <v/>
      </c>
      <c r="K32" t="str">
        <f>IFERROR(VLOOKUP(#REF!&amp;"_"&amp;L$7,Database!#REF!,6,0),"")</f>
        <v/>
      </c>
      <c r="L32" t="str">
        <f>IFERROR(VLOOKUP(#REF!&amp;"_"&amp;M$7,Database!#REF!,6,0),"")</f>
        <v/>
      </c>
      <c r="M32" t="str">
        <f>IFERROR(VLOOKUP(#REF!&amp;"_"&amp;N$7,Database!#REF!,6,0),"")</f>
        <v/>
      </c>
      <c r="N32" t="str">
        <f>IFERROR(VLOOKUP(#REF!&amp;"_"&amp;O$7,Database!#REF!,6,0),"")</f>
        <v/>
      </c>
      <c r="O32" t="str">
        <f>IFERROR(VLOOKUP(#REF!&amp;"_"&amp;P$7,Database!#REF!,6,0),"")</f>
        <v/>
      </c>
      <c r="P32" t="str">
        <f>IFERROR(VLOOKUP(#REF!&amp;"_"&amp;Q$7,Database!#REF!,6,0),"")</f>
        <v/>
      </c>
      <c r="Q32" t="str">
        <f>IFERROR(VLOOKUP(#REF!&amp;"_"&amp;R$7,Database!#REF!,6,0),"")</f>
        <v/>
      </c>
      <c r="R32" t="str">
        <f>IFERROR(VLOOKUP(#REF!&amp;"_"&amp;S$7,Database!#REF!,6,0),"")</f>
        <v/>
      </c>
      <c r="S32" t="str">
        <f>IFERROR(VLOOKUP(#REF!&amp;"_"&amp;T$7,Database!#REF!,6,0),"")</f>
        <v/>
      </c>
      <c r="T32" t="str">
        <f>IFERROR(VLOOKUP(#REF!&amp;"_"&amp;U$7,Database!#REF!,6,0),"")</f>
        <v/>
      </c>
      <c r="U32" t="str">
        <f>IFERROR(VLOOKUP(#REF!&amp;"_"&amp;V$7,Database!#REF!,6,0),"")</f>
        <v/>
      </c>
      <c r="V32" t="str">
        <f>IFERROR(VLOOKUP(#REF!&amp;"_"&amp;W$7,Database!#REF!,6,0),"")</f>
        <v/>
      </c>
      <c r="W32" t="str">
        <f>IFERROR(VLOOKUP(#REF!&amp;"_"&amp;X$7,Database!#REF!,6,0),"")</f>
        <v/>
      </c>
      <c r="X32" t="str">
        <f>IFERROR(VLOOKUP(#REF!&amp;"_"&amp;Y$7,Database!#REF!,6,0),"")</f>
        <v/>
      </c>
      <c r="Y32" t="str">
        <f>IFERROR(VLOOKUP(#REF!&amp;"_"&amp;Z$7,Database!#REF!,6,0),"")</f>
        <v/>
      </c>
      <c r="Z32" t="str">
        <f>IFERROR(VLOOKUP(#REF!&amp;"_"&amp;AA$7,Database!#REF!,6,0),"")</f>
        <v/>
      </c>
      <c r="AA32" t="str">
        <f>IFERROR(VLOOKUP(#REF!&amp;"_"&amp;AB$7,Database!#REF!,6,0),"")</f>
        <v/>
      </c>
      <c r="AB32" t="str">
        <f>IFERROR(VLOOKUP(#REF!&amp;"_"&amp;AC$7,Database!#REF!,6,0),"")</f>
        <v/>
      </c>
      <c r="AC32" t="str">
        <f>IFERROR(VLOOKUP(#REF!&amp;"_"&amp;AD$7,Database!#REF!,6,0),"")</f>
        <v/>
      </c>
      <c r="AD32" t="str">
        <f>IFERROR(VLOOKUP(#REF!&amp;"_"&amp;AE$7,Database!#REF!,6,0),"")</f>
        <v/>
      </c>
      <c r="AE32" t="str">
        <f>IFERROR(VLOOKUP(#REF!&amp;"_"&amp;AF$7,Database!#REF!,6,0),"")</f>
        <v/>
      </c>
      <c r="AF32" t="str">
        <f>IFERROR(VLOOKUP(#REF!&amp;"_"&amp;AG$7,Database!#REF!,6,0),"")</f>
        <v/>
      </c>
      <c r="AG32" t="str">
        <f>IFERROR(VLOOKUP(#REF!&amp;"_"&amp;AH$7,Database!#REF!,6,0),"")</f>
        <v/>
      </c>
      <c r="AH32" t="str">
        <f>IFERROR(VLOOKUP(#REF!&amp;"_"&amp;AI$7,Database!#REF!,6,0),"")</f>
        <v/>
      </c>
      <c r="AI32" t="str">
        <f>IFERROR(VLOOKUP(#REF!&amp;"_"&amp;AJ$7,Database!#REF!,6,0),"")</f>
        <v/>
      </c>
      <c r="AJ32" t="str">
        <f>IFERROR(VLOOKUP(#REF!&amp;"_"&amp;AK$7,Database!#REF!,6,0),"")</f>
        <v/>
      </c>
      <c r="AK32" t="str">
        <f>IFERROR(VLOOKUP(#REF!&amp;"_"&amp;AL$7,Database!#REF!,6,0),"")</f>
        <v/>
      </c>
    </row>
    <row r="33" spans="2:37" x14ac:dyDescent="0.25">
      <c r="B33" t="str">
        <f>IF('Employee Master'!B27="","",'Employee Master'!B27)</f>
        <v/>
      </c>
      <c r="G33" t="str">
        <f>IFERROR(VLOOKUP(#REF!&amp;"_"&amp;H$7,Database!#REF!,6,0),"")</f>
        <v/>
      </c>
      <c r="H33" t="str">
        <f>IFERROR(VLOOKUP(#REF!&amp;"_"&amp;I$7,Database!#REF!,6,0),"")</f>
        <v/>
      </c>
      <c r="I33" t="str">
        <f>IFERROR(VLOOKUP(#REF!&amp;"_"&amp;J$7,Database!#REF!,6,0),"")</f>
        <v/>
      </c>
      <c r="J33" t="str">
        <f>IFERROR(VLOOKUP(#REF!&amp;"_"&amp;K$7,Database!#REF!,6,0),"")</f>
        <v/>
      </c>
      <c r="K33" t="str">
        <f>IFERROR(VLOOKUP(#REF!&amp;"_"&amp;L$7,Database!#REF!,6,0),"")</f>
        <v/>
      </c>
      <c r="L33" t="str">
        <f>IFERROR(VLOOKUP(#REF!&amp;"_"&amp;M$7,Database!#REF!,6,0),"")</f>
        <v/>
      </c>
      <c r="M33" t="str">
        <f>IFERROR(VLOOKUP(#REF!&amp;"_"&amp;N$7,Database!#REF!,6,0),"")</f>
        <v/>
      </c>
      <c r="N33" t="str">
        <f>IFERROR(VLOOKUP(#REF!&amp;"_"&amp;O$7,Database!#REF!,6,0),"")</f>
        <v/>
      </c>
      <c r="O33" t="str">
        <f>IFERROR(VLOOKUP(#REF!&amp;"_"&amp;P$7,Database!#REF!,6,0),"")</f>
        <v/>
      </c>
      <c r="P33" t="str">
        <f>IFERROR(VLOOKUP(#REF!&amp;"_"&amp;Q$7,Database!#REF!,6,0),"")</f>
        <v/>
      </c>
      <c r="Q33" t="str">
        <f>IFERROR(VLOOKUP(#REF!&amp;"_"&amp;R$7,Database!#REF!,6,0),"")</f>
        <v/>
      </c>
      <c r="R33" t="str">
        <f>IFERROR(VLOOKUP(#REF!&amp;"_"&amp;S$7,Database!#REF!,6,0),"")</f>
        <v/>
      </c>
      <c r="S33" t="str">
        <f>IFERROR(VLOOKUP(#REF!&amp;"_"&amp;T$7,Database!#REF!,6,0),"")</f>
        <v/>
      </c>
      <c r="T33" t="str">
        <f>IFERROR(VLOOKUP(#REF!&amp;"_"&amp;U$7,Database!#REF!,6,0),"")</f>
        <v/>
      </c>
      <c r="U33" t="str">
        <f>IFERROR(VLOOKUP(#REF!&amp;"_"&amp;V$7,Database!#REF!,6,0),"")</f>
        <v/>
      </c>
      <c r="V33" t="str">
        <f>IFERROR(VLOOKUP(#REF!&amp;"_"&amp;W$7,Database!#REF!,6,0),"")</f>
        <v/>
      </c>
      <c r="W33" t="str">
        <f>IFERROR(VLOOKUP(#REF!&amp;"_"&amp;X$7,Database!#REF!,6,0),"")</f>
        <v/>
      </c>
      <c r="X33" t="str">
        <f>IFERROR(VLOOKUP(#REF!&amp;"_"&amp;Y$7,Database!#REF!,6,0),"")</f>
        <v/>
      </c>
      <c r="Y33" t="str">
        <f>IFERROR(VLOOKUP(#REF!&amp;"_"&amp;Z$7,Database!#REF!,6,0),"")</f>
        <v/>
      </c>
      <c r="Z33" t="str">
        <f>IFERROR(VLOOKUP(#REF!&amp;"_"&amp;AA$7,Database!#REF!,6,0),"")</f>
        <v/>
      </c>
      <c r="AA33" t="str">
        <f>IFERROR(VLOOKUP(#REF!&amp;"_"&amp;AB$7,Database!#REF!,6,0),"")</f>
        <v/>
      </c>
      <c r="AB33" t="str">
        <f>IFERROR(VLOOKUP(#REF!&amp;"_"&amp;AC$7,Database!#REF!,6,0),"")</f>
        <v/>
      </c>
      <c r="AC33" t="str">
        <f>IFERROR(VLOOKUP(#REF!&amp;"_"&amp;AD$7,Database!#REF!,6,0),"")</f>
        <v/>
      </c>
      <c r="AD33" t="str">
        <f>IFERROR(VLOOKUP(#REF!&amp;"_"&amp;AE$7,Database!#REF!,6,0),"")</f>
        <v/>
      </c>
      <c r="AE33" t="str">
        <f>IFERROR(VLOOKUP(#REF!&amp;"_"&amp;AF$7,Database!#REF!,6,0),"")</f>
        <v/>
      </c>
      <c r="AF33" t="str">
        <f>IFERROR(VLOOKUP(#REF!&amp;"_"&amp;AG$7,Database!#REF!,6,0),"")</f>
        <v/>
      </c>
      <c r="AG33" t="str">
        <f>IFERROR(VLOOKUP(#REF!&amp;"_"&amp;AH$7,Database!#REF!,6,0),"")</f>
        <v/>
      </c>
      <c r="AH33" t="str">
        <f>IFERROR(VLOOKUP(#REF!&amp;"_"&amp;AI$7,Database!#REF!,6,0),"")</f>
        <v/>
      </c>
      <c r="AI33" t="str">
        <f>IFERROR(VLOOKUP(#REF!&amp;"_"&amp;AJ$7,Database!#REF!,6,0),"")</f>
        <v/>
      </c>
      <c r="AJ33" t="str">
        <f>IFERROR(VLOOKUP(#REF!&amp;"_"&amp;AK$7,Database!#REF!,6,0),"")</f>
        <v/>
      </c>
      <c r="AK33" t="str">
        <f>IFERROR(VLOOKUP(#REF!&amp;"_"&amp;AL$7,Database!#REF!,6,0),"")</f>
        <v/>
      </c>
    </row>
    <row r="34" spans="2:37" x14ac:dyDescent="0.25">
      <c r="B34" t="str">
        <f>IF('Employee Master'!B28="","",'Employee Master'!B28)</f>
        <v/>
      </c>
      <c r="G34" t="str">
        <f>IFERROR(VLOOKUP(#REF!&amp;"_"&amp;H$7,Database!#REF!,6,0),"")</f>
        <v/>
      </c>
      <c r="H34" t="str">
        <f>IFERROR(VLOOKUP(#REF!&amp;"_"&amp;I$7,Database!#REF!,6,0),"")</f>
        <v/>
      </c>
      <c r="I34" t="str">
        <f>IFERROR(VLOOKUP(#REF!&amp;"_"&amp;J$7,Database!#REF!,6,0),"")</f>
        <v/>
      </c>
      <c r="J34" t="str">
        <f>IFERROR(VLOOKUP(#REF!&amp;"_"&amp;K$7,Database!#REF!,6,0),"")</f>
        <v/>
      </c>
      <c r="K34" t="str">
        <f>IFERROR(VLOOKUP(#REF!&amp;"_"&amp;L$7,Database!#REF!,6,0),"")</f>
        <v/>
      </c>
      <c r="L34" t="str">
        <f>IFERROR(VLOOKUP(#REF!&amp;"_"&amp;M$7,Database!#REF!,6,0),"")</f>
        <v/>
      </c>
      <c r="M34" t="str">
        <f>IFERROR(VLOOKUP(#REF!&amp;"_"&amp;N$7,Database!#REF!,6,0),"")</f>
        <v/>
      </c>
      <c r="N34" t="str">
        <f>IFERROR(VLOOKUP(#REF!&amp;"_"&amp;O$7,Database!#REF!,6,0),"")</f>
        <v/>
      </c>
      <c r="O34" t="str">
        <f>IFERROR(VLOOKUP(#REF!&amp;"_"&amp;P$7,Database!#REF!,6,0),"")</f>
        <v/>
      </c>
      <c r="P34" t="str">
        <f>IFERROR(VLOOKUP(#REF!&amp;"_"&amp;Q$7,Database!#REF!,6,0),"")</f>
        <v/>
      </c>
      <c r="Q34" t="str">
        <f>IFERROR(VLOOKUP(#REF!&amp;"_"&amp;R$7,Database!#REF!,6,0),"")</f>
        <v/>
      </c>
      <c r="R34" t="str">
        <f>IFERROR(VLOOKUP(#REF!&amp;"_"&amp;S$7,Database!#REF!,6,0),"")</f>
        <v/>
      </c>
      <c r="S34" t="str">
        <f>IFERROR(VLOOKUP(#REF!&amp;"_"&amp;T$7,Database!#REF!,6,0),"")</f>
        <v/>
      </c>
      <c r="T34" t="str">
        <f>IFERROR(VLOOKUP(#REF!&amp;"_"&amp;U$7,Database!#REF!,6,0),"")</f>
        <v/>
      </c>
      <c r="U34" t="str">
        <f>IFERROR(VLOOKUP(#REF!&amp;"_"&amp;V$7,Database!#REF!,6,0),"")</f>
        <v/>
      </c>
      <c r="V34" t="str">
        <f>IFERROR(VLOOKUP(#REF!&amp;"_"&amp;W$7,Database!#REF!,6,0),"")</f>
        <v/>
      </c>
      <c r="W34" t="str">
        <f>IFERROR(VLOOKUP(#REF!&amp;"_"&amp;X$7,Database!#REF!,6,0),"")</f>
        <v/>
      </c>
      <c r="X34" t="str">
        <f>IFERROR(VLOOKUP(#REF!&amp;"_"&amp;Y$7,Database!#REF!,6,0),"")</f>
        <v/>
      </c>
      <c r="Y34" t="str">
        <f>IFERROR(VLOOKUP(#REF!&amp;"_"&amp;Z$7,Database!#REF!,6,0),"")</f>
        <v/>
      </c>
      <c r="Z34" t="str">
        <f>IFERROR(VLOOKUP(#REF!&amp;"_"&amp;AA$7,Database!#REF!,6,0),"")</f>
        <v/>
      </c>
      <c r="AA34" t="str">
        <f>IFERROR(VLOOKUP(#REF!&amp;"_"&amp;AB$7,Database!#REF!,6,0),"")</f>
        <v/>
      </c>
      <c r="AB34" t="str">
        <f>IFERROR(VLOOKUP(#REF!&amp;"_"&amp;AC$7,Database!#REF!,6,0),"")</f>
        <v/>
      </c>
      <c r="AC34" t="str">
        <f>IFERROR(VLOOKUP(#REF!&amp;"_"&amp;AD$7,Database!#REF!,6,0),"")</f>
        <v/>
      </c>
      <c r="AD34" t="str">
        <f>IFERROR(VLOOKUP(#REF!&amp;"_"&amp;AE$7,Database!#REF!,6,0),"")</f>
        <v/>
      </c>
      <c r="AE34" t="str">
        <f>IFERROR(VLOOKUP(#REF!&amp;"_"&amp;AF$7,Database!#REF!,6,0),"")</f>
        <v/>
      </c>
      <c r="AF34" t="str">
        <f>IFERROR(VLOOKUP(#REF!&amp;"_"&amp;AG$7,Database!#REF!,6,0),"")</f>
        <v/>
      </c>
      <c r="AG34" t="str">
        <f>IFERROR(VLOOKUP(#REF!&amp;"_"&amp;AH$7,Database!#REF!,6,0),"")</f>
        <v/>
      </c>
      <c r="AH34" t="str">
        <f>IFERROR(VLOOKUP(#REF!&amp;"_"&amp;AI$7,Database!#REF!,6,0),"")</f>
        <v/>
      </c>
      <c r="AI34" t="str">
        <f>IFERROR(VLOOKUP(#REF!&amp;"_"&amp;AJ$7,Database!#REF!,6,0),"")</f>
        <v/>
      </c>
      <c r="AJ34" t="str">
        <f>IFERROR(VLOOKUP(#REF!&amp;"_"&amp;AK$7,Database!#REF!,6,0),"")</f>
        <v/>
      </c>
      <c r="AK34" t="str">
        <f>IFERROR(VLOOKUP(#REF!&amp;"_"&amp;AL$7,Database!#REF!,6,0),"")</f>
        <v/>
      </c>
    </row>
    <row r="35" spans="2:37" x14ac:dyDescent="0.25">
      <c r="B35" t="str">
        <f>IF('Employee Master'!B29="","",'Employee Master'!B29)</f>
        <v/>
      </c>
      <c r="G35" t="str">
        <f>IFERROR(VLOOKUP(#REF!&amp;"_"&amp;H$7,Database!#REF!,6,0),"")</f>
        <v/>
      </c>
      <c r="H35" t="str">
        <f>IFERROR(VLOOKUP(#REF!&amp;"_"&amp;I$7,Database!#REF!,6,0),"")</f>
        <v/>
      </c>
      <c r="I35" t="str">
        <f>IFERROR(VLOOKUP(#REF!&amp;"_"&amp;J$7,Database!#REF!,6,0),"")</f>
        <v/>
      </c>
      <c r="J35" t="str">
        <f>IFERROR(VLOOKUP(#REF!&amp;"_"&amp;K$7,Database!#REF!,6,0),"")</f>
        <v/>
      </c>
      <c r="K35" t="str">
        <f>IFERROR(VLOOKUP(#REF!&amp;"_"&amp;L$7,Database!#REF!,6,0),"")</f>
        <v/>
      </c>
      <c r="L35" t="str">
        <f>IFERROR(VLOOKUP(#REF!&amp;"_"&amp;M$7,Database!#REF!,6,0),"")</f>
        <v/>
      </c>
      <c r="M35" t="str">
        <f>IFERROR(VLOOKUP(#REF!&amp;"_"&amp;N$7,Database!#REF!,6,0),"")</f>
        <v/>
      </c>
      <c r="N35" t="str">
        <f>IFERROR(VLOOKUP(#REF!&amp;"_"&amp;O$7,Database!#REF!,6,0),"")</f>
        <v/>
      </c>
      <c r="O35" t="str">
        <f>IFERROR(VLOOKUP(#REF!&amp;"_"&amp;P$7,Database!#REF!,6,0),"")</f>
        <v/>
      </c>
      <c r="P35" t="str">
        <f>IFERROR(VLOOKUP(#REF!&amp;"_"&amp;Q$7,Database!#REF!,6,0),"")</f>
        <v/>
      </c>
      <c r="Q35" t="str">
        <f>IFERROR(VLOOKUP(#REF!&amp;"_"&amp;R$7,Database!#REF!,6,0),"")</f>
        <v/>
      </c>
      <c r="R35" t="str">
        <f>IFERROR(VLOOKUP(#REF!&amp;"_"&amp;S$7,Database!#REF!,6,0),"")</f>
        <v/>
      </c>
      <c r="S35" t="str">
        <f>IFERROR(VLOOKUP(#REF!&amp;"_"&amp;T$7,Database!#REF!,6,0),"")</f>
        <v/>
      </c>
      <c r="T35" t="str">
        <f>IFERROR(VLOOKUP(#REF!&amp;"_"&amp;U$7,Database!#REF!,6,0),"")</f>
        <v/>
      </c>
      <c r="U35" t="str">
        <f>IFERROR(VLOOKUP(#REF!&amp;"_"&amp;V$7,Database!#REF!,6,0),"")</f>
        <v/>
      </c>
      <c r="V35" t="str">
        <f>IFERROR(VLOOKUP(#REF!&amp;"_"&amp;W$7,Database!#REF!,6,0),"")</f>
        <v/>
      </c>
      <c r="W35" t="str">
        <f>IFERROR(VLOOKUP(#REF!&amp;"_"&amp;X$7,Database!#REF!,6,0),"")</f>
        <v/>
      </c>
      <c r="X35" t="str">
        <f>IFERROR(VLOOKUP(#REF!&amp;"_"&amp;Y$7,Database!#REF!,6,0),"")</f>
        <v/>
      </c>
      <c r="Y35" t="str">
        <f>IFERROR(VLOOKUP(#REF!&amp;"_"&amp;Z$7,Database!#REF!,6,0),"")</f>
        <v/>
      </c>
      <c r="Z35" t="str">
        <f>IFERROR(VLOOKUP(#REF!&amp;"_"&amp;AA$7,Database!#REF!,6,0),"")</f>
        <v/>
      </c>
      <c r="AA35" t="str">
        <f>IFERROR(VLOOKUP(#REF!&amp;"_"&amp;AB$7,Database!#REF!,6,0),"")</f>
        <v/>
      </c>
      <c r="AB35" t="str">
        <f>IFERROR(VLOOKUP(#REF!&amp;"_"&amp;AC$7,Database!#REF!,6,0),"")</f>
        <v/>
      </c>
      <c r="AC35" t="str">
        <f>IFERROR(VLOOKUP(#REF!&amp;"_"&amp;AD$7,Database!#REF!,6,0),"")</f>
        <v/>
      </c>
      <c r="AD35" t="str">
        <f>IFERROR(VLOOKUP(#REF!&amp;"_"&amp;AE$7,Database!#REF!,6,0),"")</f>
        <v/>
      </c>
      <c r="AE35" t="str">
        <f>IFERROR(VLOOKUP(#REF!&amp;"_"&amp;AF$7,Database!#REF!,6,0),"")</f>
        <v/>
      </c>
      <c r="AF35" t="str">
        <f>IFERROR(VLOOKUP(#REF!&amp;"_"&amp;AG$7,Database!#REF!,6,0),"")</f>
        <v/>
      </c>
      <c r="AG35" t="str">
        <f>IFERROR(VLOOKUP(#REF!&amp;"_"&amp;AH$7,Database!#REF!,6,0),"")</f>
        <v/>
      </c>
      <c r="AH35" t="str">
        <f>IFERROR(VLOOKUP(#REF!&amp;"_"&amp;AI$7,Database!#REF!,6,0),"")</f>
        <v/>
      </c>
      <c r="AI35" t="str">
        <f>IFERROR(VLOOKUP(#REF!&amp;"_"&amp;AJ$7,Database!#REF!,6,0),"")</f>
        <v/>
      </c>
      <c r="AJ35" t="str">
        <f>IFERROR(VLOOKUP(#REF!&amp;"_"&amp;AK$7,Database!#REF!,6,0),"")</f>
        <v/>
      </c>
      <c r="AK35" t="str">
        <f>IFERROR(VLOOKUP(#REF!&amp;"_"&amp;AL$7,Database!#REF!,6,0),"")</f>
        <v/>
      </c>
    </row>
    <row r="36" spans="2:37" x14ac:dyDescent="0.25">
      <c r="B36" t="str">
        <f>IF('Employee Master'!B30="","",'Employee Master'!B30)</f>
        <v/>
      </c>
      <c r="G36" t="str">
        <f>IFERROR(VLOOKUP(#REF!&amp;"_"&amp;H$7,Database!#REF!,6,0),"")</f>
        <v/>
      </c>
      <c r="H36" t="str">
        <f>IFERROR(VLOOKUP(#REF!&amp;"_"&amp;I$7,Database!#REF!,6,0),"")</f>
        <v/>
      </c>
      <c r="I36" t="str">
        <f>IFERROR(VLOOKUP(#REF!&amp;"_"&amp;J$7,Database!#REF!,6,0),"")</f>
        <v/>
      </c>
      <c r="J36" t="str">
        <f>IFERROR(VLOOKUP(#REF!&amp;"_"&amp;K$7,Database!#REF!,6,0),"")</f>
        <v/>
      </c>
      <c r="K36" t="str">
        <f>IFERROR(VLOOKUP(#REF!&amp;"_"&amp;L$7,Database!#REF!,6,0),"")</f>
        <v/>
      </c>
      <c r="L36" t="str">
        <f>IFERROR(VLOOKUP(#REF!&amp;"_"&amp;M$7,Database!#REF!,6,0),"")</f>
        <v/>
      </c>
      <c r="M36" t="str">
        <f>IFERROR(VLOOKUP(#REF!&amp;"_"&amp;N$7,Database!#REF!,6,0),"")</f>
        <v/>
      </c>
      <c r="N36" t="str">
        <f>IFERROR(VLOOKUP(#REF!&amp;"_"&amp;O$7,Database!#REF!,6,0),"")</f>
        <v/>
      </c>
      <c r="O36" t="str">
        <f>IFERROR(VLOOKUP(#REF!&amp;"_"&amp;P$7,Database!#REF!,6,0),"")</f>
        <v/>
      </c>
      <c r="P36" t="str">
        <f>IFERROR(VLOOKUP(#REF!&amp;"_"&amp;Q$7,Database!#REF!,6,0),"")</f>
        <v/>
      </c>
      <c r="Q36" t="str">
        <f>IFERROR(VLOOKUP(#REF!&amp;"_"&amp;R$7,Database!#REF!,6,0),"")</f>
        <v/>
      </c>
      <c r="R36" t="str">
        <f>IFERROR(VLOOKUP(#REF!&amp;"_"&amp;S$7,Database!#REF!,6,0),"")</f>
        <v/>
      </c>
      <c r="S36" t="str">
        <f>IFERROR(VLOOKUP(#REF!&amp;"_"&amp;T$7,Database!#REF!,6,0),"")</f>
        <v/>
      </c>
      <c r="T36" t="str">
        <f>IFERROR(VLOOKUP(#REF!&amp;"_"&amp;U$7,Database!#REF!,6,0),"")</f>
        <v/>
      </c>
      <c r="U36" t="str">
        <f>IFERROR(VLOOKUP(#REF!&amp;"_"&amp;V$7,Database!#REF!,6,0),"")</f>
        <v/>
      </c>
      <c r="V36" t="str">
        <f>IFERROR(VLOOKUP(#REF!&amp;"_"&amp;W$7,Database!#REF!,6,0),"")</f>
        <v/>
      </c>
      <c r="W36" t="str">
        <f>IFERROR(VLOOKUP(#REF!&amp;"_"&amp;X$7,Database!#REF!,6,0),"")</f>
        <v/>
      </c>
      <c r="X36" t="str">
        <f>IFERROR(VLOOKUP(#REF!&amp;"_"&amp;Y$7,Database!#REF!,6,0),"")</f>
        <v/>
      </c>
      <c r="Y36" t="str">
        <f>IFERROR(VLOOKUP(#REF!&amp;"_"&amp;Z$7,Database!#REF!,6,0),"")</f>
        <v/>
      </c>
      <c r="Z36" t="str">
        <f>IFERROR(VLOOKUP(#REF!&amp;"_"&amp;AA$7,Database!#REF!,6,0),"")</f>
        <v/>
      </c>
      <c r="AA36" t="str">
        <f>IFERROR(VLOOKUP(#REF!&amp;"_"&amp;AB$7,Database!#REF!,6,0),"")</f>
        <v/>
      </c>
      <c r="AB36" t="str">
        <f>IFERROR(VLOOKUP(#REF!&amp;"_"&amp;AC$7,Database!#REF!,6,0),"")</f>
        <v/>
      </c>
      <c r="AC36" t="str">
        <f>IFERROR(VLOOKUP(#REF!&amp;"_"&amp;AD$7,Database!#REF!,6,0),"")</f>
        <v/>
      </c>
      <c r="AD36" t="str">
        <f>IFERROR(VLOOKUP(#REF!&amp;"_"&amp;AE$7,Database!#REF!,6,0),"")</f>
        <v/>
      </c>
      <c r="AE36" t="str">
        <f>IFERROR(VLOOKUP(#REF!&amp;"_"&amp;AF$7,Database!#REF!,6,0),"")</f>
        <v/>
      </c>
      <c r="AF36" t="str">
        <f>IFERROR(VLOOKUP(#REF!&amp;"_"&amp;AG$7,Database!#REF!,6,0),"")</f>
        <v/>
      </c>
      <c r="AG36" t="str">
        <f>IFERROR(VLOOKUP(#REF!&amp;"_"&amp;AH$7,Database!#REF!,6,0),"")</f>
        <v/>
      </c>
      <c r="AH36" t="str">
        <f>IFERROR(VLOOKUP(#REF!&amp;"_"&amp;AI$7,Database!#REF!,6,0),"")</f>
        <v/>
      </c>
      <c r="AI36" t="str">
        <f>IFERROR(VLOOKUP(#REF!&amp;"_"&amp;AJ$7,Database!#REF!,6,0),"")</f>
        <v/>
      </c>
      <c r="AJ36" t="str">
        <f>IFERROR(VLOOKUP(#REF!&amp;"_"&amp;AK$7,Database!#REF!,6,0),"")</f>
        <v/>
      </c>
      <c r="AK36" t="str">
        <f>IFERROR(VLOOKUP(#REF!&amp;"_"&amp;AL$7,Database!#REF!,6,0),"")</f>
        <v/>
      </c>
    </row>
    <row r="37" spans="2:37" x14ac:dyDescent="0.25">
      <c r="B37" t="str">
        <f>IF('Employee Master'!B31="","",'Employee Master'!B31)</f>
        <v/>
      </c>
      <c r="G37" t="str">
        <f>IFERROR(VLOOKUP(#REF!&amp;"_"&amp;H$7,Database!#REF!,6,0),"")</f>
        <v/>
      </c>
      <c r="H37" t="str">
        <f>IFERROR(VLOOKUP(#REF!&amp;"_"&amp;I$7,Database!#REF!,6,0),"")</f>
        <v/>
      </c>
      <c r="I37" t="str">
        <f>IFERROR(VLOOKUP(#REF!&amp;"_"&amp;J$7,Database!#REF!,6,0),"")</f>
        <v/>
      </c>
      <c r="J37" t="str">
        <f>IFERROR(VLOOKUP(#REF!&amp;"_"&amp;K$7,Database!#REF!,6,0),"")</f>
        <v/>
      </c>
      <c r="K37" t="str">
        <f>IFERROR(VLOOKUP(#REF!&amp;"_"&amp;L$7,Database!#REF!,6,0),"")</f>
        <v/>
      </c>
      <c r="L37" t="str">
        <f>IFERROR(VLOOKUP(#REF!&amp;"_"&amp;M$7,Database!#REF!,6,0),"")</f>
        <v/>
      </c>
      <c r="M37" t="str">
        <f>IFERROR(VLOOKUP(#REF!&amp;"_"&amp;N$7,Database!#REF!,6,0),"")</f>
        <v/>
      </c>
      <c r="N37" t="str">
        <f>IFERROR(VLOOKUP(#REF!&amp;"_"&amp;O$7,Database!#REF!,6,0),"")</f>
        <v/>
      </c>
      <c r="O37" t="str">
        <f>IFERROR(VLOOKUP(#REF!&amp;"_"&amp;P$7,Database!#REF!,6,0),"")</f>
        <v/>
      </c>
      <c r="P37" t="str">
        <f>IFERROR(VLOOKUP(#REF!&amp;"_"&amp;Q$7,Database!#REF!,6,0),"")</f>
        <v/>
      </c>
      <c r="Q37" t="str">
        <f>IFERROR(VLOOKUP(#REF!&amp;"_"&amp;R$7,Database!#REF!,6,0),"")</f>
        <v/>
      </c>
      <c r="R37" t="str">
        <f>IFERROR(VLOOKUP(#REF!&amp;"_"&amp;S$7,Database!#REF!,6,0),"")</f>
        <v/>
      </c>
      <c r="S37" t="str">
        <f>IFERROR(VLOOKUP(#REF!&amp;"_"&amp;T$7,Database!#REF!,6,0),"")</f>
        <v/>
      </c>
      <c r="T37" t="str">
        <f>IFERROR(VLOOKUP(#REF!&amp;"_"&amp;U$7,Database!#REF!,6,0),"")</f>
        <v/>
      </c>
      <c r="U37" t="str">
        <f>IFERROR(VLOOKUP(#REF!&amp;"_"&amp;V$7,Database!#REF!,6,0),"")</f>
        <v/>
      </c>
      <c r="V37" t="str">
        <f>IFERROR(VLOOKUP(#REF!&amp;"_"&amp;W$7,Database!#REF!,6,0),"")</f>
        <v/>
      </c>
      <c r="W37" t="str">
        <f>IFERROR(VLOOKUP(#REF!&amp;"_"&amp;X$7,Database!#REF!,6,0),"")</f>
        <v/>
      </c>
      <c r="X37" t="str">
        <f>IFERROR(VLOOKUP(#REF!&amp;"_"&amp;Y$7,Database!#REF!,6,0),"")</f>
        <v/>
      </c>
      <c r="Y37" t="str">
        <f>IFERROR(VLOOKUP(#REF!&amp;"_"&amp;Z$7,Database!#REF!,6,0),"")</f>
        <v/>
      </c>
      <c r="Z37" t="str">
        <f>IFERROR(VLOOKUP(#REF!&amp;"_"&amp;AA$7,Database!#REF!,6,0),"")</f>
        <v/>
      </c>
      <c r="AA37" t="str">
        <f>IFERROR(VLOOKUP(#REF!&amp;"_"&amp;AB$7,Database!#REF!,6,0),"")</f>
        <v/>
      </c>
      <c r="AB37" t="str">
        <f>IFERROR(VLOOKUP(#REF!&amp;"_"&amp;AC$7,Database!#REF!,6,0),"")</f>
        <v/>
      </c>
      <c r="AC37" t="str">
        <f>IFERROR(VLOOKUP(#REF!&amp;"_"&amp;AD$7,Database!#REF!,6,0),"")</f>
        <v/>
      </c>
      <c r="AD37" t="str">
        <f>IFERROR(VLOOKUP(#REF!&amp;"_"&amp;AE$7,Database!#REF!,6,0),"")</f>
        <v/>
      </c>
      <c r="AE37" t="str">
        <f>IFERROR(VLOOKUP(#REF!&amp;"_"&amp;AF$7,Database!#REF!,6,0),"")</f>
        <v/>
      </c>
      <c r="AF37" t="str">
        <f>IFERROR(VLOOKUP(#REF!&amp;"_"&amp;AG$7,Database!#REF!,6,0),"")</f>
        <v/>
      </c>
      <c r="AG37" t="str">
        <f>IFERROR(VLOOKUP(#REF!&amp;"_"&amp;AH$7,Database!#REF!,6,0),"")</f>
        <v/>
      </c>
      <c r="AH37" t="str">
        <f>IFERROR(VLOOKUP(#REF!&amp;"_"&amp;AI$7,Database!#REF!,6,0),"")</f>
        <v/>
      </c>
      <c r="AI37" t="str">
        <f>IFERROR(VLOOKUP(#REF!&amp;"_"&amp;AJ$7,Database!#REF!,6,0),"")</f>
        <v/>
      </c>
      <c r="AJ37" t="str">
        <f>IFERROR(VLOOKUP(#REF!&amp;"_"&amp;AK$7,Database!#REF!,6,0),"")</f>
        <v/>
      </c>
      <c r="AK37" t="str">
        <f>IFERROR(VLOOKUP(#REF!&amp;"_"&amp;AL$7,Database!#REF!,6,0),"")</f>
        <v/>
      </c>
    </row>
    <row r="38" spans="2:37" x14ac:dyDescent="0.25">
      <c r="B38" t="str">
        <f>IF('Employee Master'!B32="","",'Employee Master'!B32)</f>
        <v/>
      </c>
      <c r="G38" t="str">
        <f>IFERROR(VLOOKUP(#REF!&amp;"_"&amp;H$7,Database!#REF!,6,0),"")</f>
        <v/>
      </c>
      <c r="H38" t="str">
        <f>IFERROR(VLOOKUP(#REF!&amp;"_"&amp;I$7,Database!#REF!,6,0),"")</f>
        <v/>
      </c>
      <c r="I38" t="str">
        <f>IFERROR(VLOOKUP(#REF!&amp;"_"&amp;J$7,Database!#REF!,6,0),"")</f>
        <v/>
      </c>
      <c r="J38" t="str">
        <f>IFERROR(VLOOKUP(#REF!&amp;"_"&amp;K$7,Database!#REF!,6,0),"")</f>
        <v/>
      </c>
      <c r="K38" t="str">
        <f>IFERROR(VLOOKUP(#REF!&amp;"_"&amp;L$7,Database!#REF!,6,0),"")</f>
        <v/>
      </c>
      <c r="L38" t="str">
        <f>IFERROR(VLOOKUP(#REF!&amp;"_"&amp;M$7,Database!#REF!,6,0),"")</f>
        <v/>
      </c>
      <c r="M38" t="str">
        <f>IFERROR(VLOOKUP(#REF!&amp;"_"&amp;N$7,Database!#REF!,6,0),"")</f>
        <v/>
      </c>
      <c r="N38" t="str">
        <f>IFERROR(VLOOKUP(#REF!&amp;"_"&amp;O$7,Database!#REF!,6,0),"")</f>
        <v/>
      </c>
      <c r="O38" t="str">
        <f>IFERROR(VLOOKUP(#REF!&amp;"_"&amp;P$7,Database!#REF!,6,0),"")</f>
        <v/>
      </c>
      <c r="P38" t="str">
        <f>IFERROR(VLOOKUP(#REF!&amp;"_"&amp;Q$7,Database!#REF!,6,0),"")</f>
        <v/>
      </c>
      <c r="Q38" t="str">
        <f>IFERROR(VLOOKUP(#REF!&amp;"_"&amp;R$7,Database!#REF!,6,0),"")</f>
        <v/>
      </c>
      <c r="R38" t="str">
        <f>IFERROR(VLOOKUP(#REF!&amp;"_"&amp;S$7,Database!#REF!,6,0),"")</f>
        <v/>
      </c>
      <c r="S38" t="str">
        <f>IFERROR(VLOOKUP(#REF!&amp;"_"&amp;T$7,Database!#REF!,6,0),"")</f>
        <v/>
      </c>
      <c r="T38" t="str">
        <f>IFERROR(VLOOKUP(#REF!&amp;"_"&amp;U$7,Database!#REF!,6,0),"")</f>
        <v/>
      </c>
      <c r="U38" t="str">
        <f>IFERROR(VLOOKUP(#REF!&amp;"_"&amp;V$7,Database!#REF!,6,0),"")</f>
        <v/>
      </c>
      <c r="V38" t="str">
        <f>IFERROR(VLOOKUP(#REF!&amp;"_"&amp;W$7,Database!#REF!,6,0),"")</f>
        <v/>
      </c>
      <c r="W38" t="str">
        <f>IFERROR(VLOOKUP(#REF!&amp;"_"&amp;X$7,Database!#REF!,6,0),"")</f>
        <v/>
      </c>
      <c r="X38" t="str">
        <f>IFERROR(VLOOKUP(#REF!&amp;"_"&amp;Y$7,Database!#REF!,6,0),"")</f>
        <v/>
      </c>
      <c r="Y38" t="str">
        <f>IFERROR(VLOOKUP(#REF!&amp;"_"&amp;Z$7,Database!#REF!,6,0),"")</f>
        <v/>
      </c>
      <c r="Z38" t="str">
        <f>IFERROR(VLOOKUP(#REF!&amp;"_"&amp;AA$7,Database!#REF!,6,0),"")</f>
        <v/>
      </c>
      <c r="AA38" t="str">
        <f>IFERROR(VLOOKUP(#REF!&amp;"_"&amp;AB$7,Database!#REF!,6,0),"")</f>
        <v/>
      </c>
      <c r="AB38" t="str">
        <f>IFERROR(VLOOKUP(#REF!&amp;"_"&amp;AC$7,Database!#REF!,6,0),"")</f>
        <v/>
      </c>
      <c r="AC38" t="str">
        <f>IFERROR(VLOOKUP(#REF!&amp;"_"&amp;AD$7,Database!#REF!,6,0),"")</f>
        <v/>
      </c>
      <c r="AD38" t="str">
        <f>IFERROR(VLOOKUP(#REF!&amp;"_"&amp;AE$7,Database!#REF!,6,0),"")</f>
        <v/>
      </c>
      <c r="AE38" t="str">
        <f>IFERROR(VLOOKUP(#REF!&amp;"_"&amp;AF$7,Database!#REF!,6,0),"")</f>
        <v/>
      </c>
      <c r="AF38" t="str">
        <f>IFERROR(VLOOKUP(#REF!&amp;"_"&amp;AG$7,Database!#REF!,6,0),"")</f>
        <v/>
      </c>
      <c r="AG38" t="str">
        <f>IFERROR(VLOOKUP(#REF!&amp;"_"&amp;AH$7,Database!#REF!,6,0),"")</f>
        <v/>
      </c>
      <c r="AH38" t="str">
        <f>IFERROR(VLOOKUP(#REF!&amp;"_"&amp;AI$7,Database!#REF!,6,0),"")</f>
        <v/>
      </c>
      <c r="AI38" t="str">
        <f>IFERROR(VLOOKUP(#REF!&amp;"_"&amp;AJ$7,Database!#REF!,6,0),"")</f>
        <v/>
      </c>
      <c r="AJ38" t="str">
        <f>IFERROR(VLOOKUP(#REF!&amp;"_"&amp;AK$7,Database!#REF!,6,0),"")</f>
        <v/>
      </c>
      <c r="AK38" t="str">
        <f>IFERROR(VLOOKUP(#REF!&amp;"_"&amp;AL$7,Database!#REF!,6,0),"")</f>
        <v/>
      </c>
    </row>
    <row r="39" spans="2:37" x14ac:dyDescent="0.25">
      <c r="B39" t="str">
        <f>IF('Employee Master'!B33="","",'Employee Master'!B33)</f>
        <v/>
      </c>
      <c r="G39" t="str">
        <f>IFERROR(VLOOKUP(#REF!&amp;"_"&amp;H$7,Database!#REF!,6,0),"")</f>
        <v/>
      </c>
      <c r="H39" t="str">
        <f>IFERROR(VLOOKUP(#REF!&amp;"_"&amp;I$7,Database!#REF!,6,0),"")</f>
        <v/>
      </c>
      <c r="I39" t="str">
        <f>IFERROR(VLOOKUP(#REF!&amp;"_"&amp;J$7,Database!#REF!,6,0),"")</f>
        <v/>
      </c>
      <c r="J39" t="str">
        <f>IFERROR(VLOOKUP(#REF!&amp;"_"&amp;K$7,Database!#REF!,6,0),"")</f>
        <v/>
      </c>
      <c r="K39" t="str">
        <f>IFERROR(VLOOKUP(#REF!&amp;"_"&amp;L$7,Database!#REF!,6,0),"")</f>
        <v/>
      </c>
      <c r="L39" t="str">
        <f>IFERROR(VLOOKUP(#REF!&amp;"_"&amp;M$7,Database!#REF!,6,0),"")</f>
        <v/>
      </c>
      <c r="M39" t="str">
        <f>IFERROR(VLOOKUP(#REF!&amp;"_"&amp;N$7,Database!#REF!,6,0),"")</f>
        <v/>
      </c>
      <c r="N39" t="str">
        <f>IFERROR(VLOOKUP(#REF!&amp;"_"&amp;O$7,Database!#REF!,6,0),"")</f>
        <v/>
      </c>
      <c r="O39" t="str">
        <f>IFERROR(VLOOKUP(#REF!&amp;"_"&amp;P$7,Database!#REF!,6,0),"")</f>
        <v/>
      </c>
      <c r="P39" t="str">
        <f>IFERROR(VLOOKUP(#REF!&amp;"_"&amp;Q$7,Database!#REF!,6,0),"")</f>
        <v/>
      </c>
      <c r="Q39" t="str">
        <f>IFERROR(VLOOKUP(#REF!&amp;"_"&amp;R$7,Database!#REF!,6,0),"")</f>
        <v/>
      </c>
      <c r="R39" t="str">
        <f>IFERROR(VLOOKUP(#REF!&amp;"_"&amp;S$7,Database!#REF!,6,0),"")</f>
        <v/>
      </c>
      <c r="S39" t="str">
        <f>IFERROR(VLOOKUP(#REF!&amp;"_"&amp;T$7,Database!#REF!,6,0),"")</f>
        <v/>
      </c>
      <c r="T39" t="str">
        <f>IFERROR(VLOOKUP(#REF!&amp;"_"&amp;U$7,Database!#REF!,6,0),"")</f>
        <v/>
      </c>
      <c r="U39" t="str">
        <f>IFERROR(VLOOKUP(#REF!&amp;"_"&amp;V$7,Database!#REF!,6,0),"")</f>
        <v/>
      </c>
      <c r="V39" t="str">
        <f>IFERROR(VLOOKUP(#REF!&amp;"_"&amp;W$7,Database!#REF!,6,0),"")</f>
        <v/>
      </c>
      <c r="W39" t="str">
        <f>IFERROR(VLOOKUP(#REF!&amp;"_"&amp;X$7,Database!#REF!,6,0),"")</f>
        <v/>
      </c>
      <c r="X39" t="str">
        <f>IFERROR(VLOOKUP(#REF!&amp;"_"&amp;Y$7,Database!#REF!,6,0),"")</f>
        <v/>
      </c>
      <c r="Y39" t="str">
        <f>IFERROR(VLOOKUP(#REF!&amp;"_"&amp;Z$7,Database!#REF!,6,0),"")</f>
        <v/>
      </c>
      <c r="Z39" t="str">
        <f>IFERROR(VLOOKUP(#REF!&amp;"_"&amp;AA$7,Database!#REF!,6,0),"")</f>
        <v/>
      </c>
      <c r="AA39" t="str">
        <f>IFERROR(VLOOKUP(#REF!&amp;"_"&amp;AB$7,Database!#REF!,6,0),"")</f>
        <v/>
      </c>
      <c r="AB39" t="str">
        <f>IFERROR(VLOOKUP(#REF!&amp;"_"&amp;AC$7,Database!#REF!,6,0),"")</f>
        <v/>
      </c>
      <c r="AC39" t="str">
        <f>IFERROR(VLOOKUP(#REF!&amp;"_"&amp;AD$7,Database!#REF!,6,0),"")</f>
        <v/>
      </c>
      <c r="AD39" t="str">
        <f>IFERROR(VLOOKUP(#REF!&amp;"_"&amp;AE$7,Database!#REF!,6,0),"")</f>
        <v/>
      </c>
      <c r="AE39" t="str">
        <f>IFERROR(VLOOKUP(#REF!&amp;"_"&amp;AF$7,Database!#REF!,6,0),"")</f>
        <v/>
      </c>
      <c r="AF39" t="str">
        <f>IFERROR(VLOOKUP(#REF!&amp;"_"&amp;AG$7,Database!#REF!,6,0),"")</f>
        <v/>
      </c>
      <c r="AG39" t="str">
        <f>IFERROR(VLOOKUP(#REF!&amp;"_"&amp;AH$7,Database!#REF!,6,0),"")</f>
        <v/>
      </c>
      <c r="AH39" t="str">
        <f>IFERROR(VLOOKUP(#REF!&amp;"_"&amp;AI$7,Database!#REF!,6,0),"")</f>
        <v/>
      </c>
      <c r="AI39" t="str">
        <f>IFERROR(VLOOKUP(#REF!&amp;"_"&amp;AJ$7,Database!#REF!,6,0),"")</f>
        <v/>
      </c>
      <c r="AJ39" t="str">
        <f>IFERROR(VLOOKUP(#REF!&amp;"_"&amp;AK$7,Database!#REF!,6,0),"")</f>
        <v/>
      </c>
      <c r="AK39" t="str">
        <f>IFERROR(VLOOKUP(#REF!&amp;"_"&amp;AL$7,Database!#REF!,6,0),"")</f>
        <v/>
      </c>
    </row>
    <row r="40" spans="2:37" x14ac:dyDescent="0.25">
      <c r="B40" t="str">
        <f>IF('Employee Master'!B34="","",'Employee Master'!B34)</f>
        <v/>
      </c>
      <c r="G40" t="str">
        <f>IFERROR(VLOOKUP(#REF!&amp;"_"&amp;H$7,Database!#REF!,6,0),"")</f>
        <v/>
      </c>
      <c r="H40" t="str">
        <f>IFERROR(VLOOKUP(#REF!&amp;"_"&amp;I$7,Database!#REF!,6,0),"")</f>
        <v/>
      </c>
      <c r="I40" t="str">
        <f>IFERROR(VLOOKUP(#REF!&amp;"_"&amp;J$7,Database!#REF!,6,0),"")</f>
        <v/>
      </c>
      <c r="J40" t="str">
        <f>IFERROR(VLOOKUP(#REF!&amp;"_"&amp;K$7,Database!#REF!,6,0),"")</f>
        <v/>
      </c>
      <c r="K40" t="str">
        <f>IFERROR(VLOOKUP(#REF!&amp;"_"&amp;L$7,Database!#REF!,6,0),"")</f>
        <v/>
      </c>
      <c r="L40" t="str">
        <f>IFERROR(VLOOKUP(#REF!&amp;"_"&amp;M$7,Database!#REF!,6,0),"")</f>
        <v/>
      </c>
      <c r="M40" t="str">
        <f>IFERROR(VLOOKUP(#REF!&amp;"_"&amp;N$7,Database!#REF!,6,0),"")</f>
        <v/>
      </c>
      <c r="N40" t="str">
        <f>IFERROR(VLOOKUP(#REF!&amp;"_"&amp;O$7,Database!#REF!,6,0),"")</f>
        <v/>
      </c>
      <c r="O40" t="str">
        <f>IFERROR(VLOOKUP(#REF!&amp;"_"&amp;P$7,Database!#REF!,6,0),"")</f>
        <v/>
      </c>
      <c r="P40" t="str">
        <f>IFERROR(VLOOKUP(#REF!&amp;"_"&amp;Q$7,Database!#REF!,6,0),"")</f>
        <v/>
      </c>
      <c r="Q40" t="str">
        <f>IFERROR(VLOOKUP(#REF!&amp;"_"&amp;R$7,Database!#REF!,6,0),"")</f>
        <v/>
      </c>
      <c r="R40" t="str">
        <f>IFERROR(VLOOKUP(#REF!&amp;"_"&amp;S$7,Database!#REF!,6,0),"")</f>
        <v/>
      </c>
      <c r="S40" t="str">
        <f>IFERROR(VLOOKUP(#REF!&amp;"_"&amp;T$7,Database!#REF!,6,0),"")</f>
        <v/>
      </c>
      <c r="T40" t="str">
        <f>IFERROR(VLOOKUP(#REF!&amp;"_"&amp;U$7,Database!#REF!,6,0),"")</f>
        <v/>
      </c>
      <c r="U40" t="str">
        <f>IFERROR(VLOOKUP(#REF!&amp;"_"&amp;V$7,Database!#REF!,6,0),"")</f>
        <v/>
      </c>
      <c r="V40" t="str">
        <f>IFERROR(VLOOKUP(#REF!&amp;"_"&amp;W$7,Database!#REF!,6,0),"")</f>
        <v/>
      </c>
      <c r="W40" t="str">
        <f>IFERROR(VLOOKUP(#REF!&amp;"_"&amp;X$7,Database!#REF!,6,0),"")</f>
        <v/>
      </c>
      <c r="X40" t="str">
        <f>IFERROR(VLOOKUP(#REF!&amp;"_"&amp;Y$7,Database!#REF!,6,0),"")</f>
        <v/>
      </c>
      <c r="Y40" t="str">
        <f>IFERROR(VLOOKUP(#REF!&amp;"_"&amp;Z$7,Database!#REF!,6,0),"")</f>
        <v/>
      </c>
      <c r="Z40" t="str">
        <f>IFERROR(VLOOKUP(#REF!&amp;"_"&amp;AA$7,Database!#REF!,6,0),"")</f>
        <v/>
      </c>
      <c r="AA40" t="str">
        <f>IFERROR(VLOOKUP(#REF!&amp;"_"&amp;AB$7,Database!#REF!,6,0),"")</f>
        <v/>
      </c>
      <c r="AB40" t="str">
        <f>IFERROR(VLOOKUP(#REF!&amp;"_"&amp;AC$7,Database!#REF!,6,0),"")</f>
        <v/>
      </c>
      <c r="AC40" t="str">
        <f>IFERROR(VLOOKUP(#REF!&amp;"_"&amp;AD$7,Database!#REF!,6,0),"")</f>
        <v/>
      </c>
      <c r="AD40" t="str">
        <f>IFERROR(VLOOKUP(#REF!&amp;"_"&amp;AE$7,Database!#REF!,6,0),"")</f>
        <v/>
      </c>
      <c r="AE40" t="str">
        <f>IFERROR(VLOOKUP(#REF!&amp;"_"&amp;AF$7,Database!#REF!,6,0),"")</f>
        <v/>
      </c>
      <c r="AF40" t="str">
        <f>IFERROR(VLOOKUP(#REF!&amp;"_"&amp;AG$7,Database!#REF!,6,0),"")</f>
        <v/>
      </c>
      <c r="AG40" t="str">
        <f>IFERROR(VLOOKUP(#REF!&amp;"_"&amp;AH$7,Database!#REF!,6,0),"")</f>
        <v/>
      </c>
      <c r="AH40" t="str">
        <f>IFERROR(VLOOKUP(#REF!&amp;"_"&amp;AI$7,Database!#REF!,6,0),"")</f>
        <v/>
      </c>
      <c r="AI40" t="str">
        <f>IFERROR(VLOOKUP(#REF!&amp;"_"&amp;AJ$7,Database!#REF!,6,0),"")</f>
        <v/>
      </c>
      <c r="AJ40" t="str">
        <f>IFERROR(VLOOKUP(#REF!&amp;"_"&amp;AK$7,Database!#REF!,6,0),"")</f>
        <v/>
      </c>
      <c r="AK40" t="str">
        <f>IFERROR(VLOOKUP(#REF!&amp;"_"&amp;AL$7,Database!#REF!,6,0),"")</f>
        <v/>
      </c>
    </row>
    <row r="41" spans="2:37" x14ac:dyDescent="0.25">
      <c r="B41" t="str">
        <f>IF('Employee Master'!B35="","",'Employee Master'!B35)</f>
        <v/>
      </c>
      <c r="G41" t="str">
        <f>IFERROR(VLOOKUP(#REF!&amp;"_"&amp;H$7,Database!#REF!,6,0),"")</f>
        <v/>
      </c>
      <c r="H41" t="str">
        <f>IFERROR(VLOOKUP(#REF!&amp;"_"&amp;I$7,Database!#REF!,6,0),"")</f>
        <v/>
      </c>
      <c r="I41" t="str">
        <f>IFERROR(VLOOKUP(#REF!&amp;"_"&amp;J$7,Database!#REF!,6,0),"")</f>
        <v/>
      </c>
      <c r="J41" t="str">
        <f>IFERROR(VLOOKUP(#REF!&amp;"_"&amp;K$7,Database!#REF!,6,0),"")</f>
        <v/>
      </c>
      <c r="K41" t="str">
        <f>IFERROR(VLOOKUP(#REF!&amp;"_"&amp;L$7,Database!#REF!,6,0),"")</f>
        <v/>
      </c>
      <c r="L41" t="str">
        <f>IFERROR(VLOOKUP(#REF!&amp;"_"&amp;M$7,Database!#REF!,6,0),"")</f>
        <v/>
      </c>
      <c r="M41" t="str">
        <f>IFERROR(VLOOKUP(#REF!&amp;"_"&amp;N$7,Database!#REF!,6,0),"")</f>
        <v/>
      </c>
      <c r="N41" t="str">
        <f>IFERROR(VLOOKUP(#REF!&amp;"_"&amp;O$7,Database!#REF!,6,0),"")</f>
        <v/>
      </c>
      <c r="O41" t="str">
        <f>IFERROR(VLOOKUP(#REF!&amp;"_"&amp;P$7,Database!#REF!,6,0),"")</f>
        <v/>
      </c>
      <c r="P41" t="str">
        <f>IFERROR(VLOOKUP(#REF!&amp;"_"&amp;Q$7,Database!#REF!,6,0),"")</f>
        <v/>
      </c>
      <c r="Q41" t="str">
        <f>IFERROR(VLOOKUP(#REF!&amp;"_"&amp;R$7,Database!#REF!,6,0),"")</f>
        <v/>
      </c>
      <c r="R41" t="str">
        <f>IFERROR(VLOOKUP(#REF!&amp;"_"&amp;S$7,Database!#REF!,6,0),"")</f>
        <v/>
      </c>
      <c r="S41" t="str">
        <f>IFERROR(VLOOKUP(#REF!&amp;"_"&amp;T$7,Database!#REF!,6,0),"")</f>
        <v/>
      </c>
      <c r="T41" t="str">
        <f>IFERROR(VLOOKUP(#REF!&amp;"_"&amp;U$7,Database!#REF!,6,0),"")</f>
        <v/>
      </c>
      <c r="U41" t="str">
        <f>IFERROR(VLOOKUP(#REF!&amp;"_"&amp;V$7,Database!#REF!,6,0),"")</f>
        <v/>
      </c>
      <c r="V41" t="str">
        <f>IFERROR(VLOOKUP(#REF!&amp;"_"&amp;W$7,Database!#REF!,6,0),"")</f>
        <v/>
      </c>
      <c r="W41" t="str">
        <f>IFERROR(VLOOKUP(#REF!&amp;"_"&amp;X$7,Database!#REF!,6,0),"")</f>
        <v/>
      </c>
      <c r="X41" t="str">
        <f>IFERROR(VLOOKUP(#REF!&amp;"_"&amp;Y$7,Database!#REF!,6,0),"")</f>
        <v/>
      </c>
      <c r="Y41" t="str">
        <f>IFERROR(VLOOKUP(#REF!&amp;"_"&amp;Z$7,Database!#REF!,6,0),"")</f>
        <v/>
      </c>
      <c r="Z41" t="str">
        <f>IFERROR(VLOOKUP(#REF!&amp;"_"&amp;AA$7,Database!#REF!,6,0),"")</f>
        <v/>
      </c>
      <c r="AA41" t="str">
        <f>IFERROR(VLOOKUP(#REF!&amp;"_"&amp;AB$7,Database!#REF!,6,0),"")</f>
        <v/>
      </c>
      <c r="AB41" t="str">
        <f>IFERROR(VLOOKUP(#REF!&amp;"_"&amp;AC$7,Database!#REF!,6,0),"")</f>
        <v/>
      </c>
      <c r="AC41" t="str">
        <f>IFERROR(VLOOKUP(#REF!&amp;"_"&amp;AD$7,Database!#REF!,6,0),"")</f>
        <v/>
      </c>
      <c r="AD41" t="str">
        <f>IFERROR(VLOOKUP(#REF!&amp;"_"&amp;AE$7,Database!#REF!,6,0),"")</f>
        <v/>
      </c>
      <c r="AE41" t="str">
        <f>IFERROR(VLOOKUP(#REF!&amp;"_"&amp;AF$7,Database!#REF!,6,0),"")</f>
        <v/>
      </c>
      <c r="AF41" t="str">
        <f>IFERROR(VLOOKUP(#REF!&amp;"_"&amp;AG$7,Database!#REF!,6,0),"")</f>
        <v/>
      </c>
      <c r="AG41" t="str">
        <f>IFERROR(VLOOKUP(#REF!&amp;"_"&amp;AH$7,Database!#REF!,6,0),"")</f>
        <v/>
      </c>
      <c r="AH41" t="str">
        <f>IFERROR(VLOOKUP(#REF!&amp;"_"&amp;AI$7,Database!#REF!,6,0),"")</f>
        <v/>
      </c>
      <c r="AI41" t="str">
        <f>IFERROR(VLOOKUP(#REF!&amp;"_"&amp;AJ$7,Database!#REF!,6,0),"")</f>
        <v/>
      </c>
      <c r="AJ41" t="str">
        <f>IFERROR(VLOOKUP(#REF!&amp;"_"&amp;AK$7,Database!#REF!,6,0),"")</f>
        <v/>
      </c>
      <c r="AK41" t="str">
        <f>IFERROR(VLOOKUP(#REF!&amp;"_"&amp;AL$7,Database!#REF!,6,0),"")</f>
        <v/>
      </c>
    </row>
    <row r="42" spans="2:37" x14ac:dyDescent="0.25">
      <c r="B42" t="str">
        <f>IF('Employee Master'!B36="","",'Employee Master'!B36)</f>
        <v/>
      </c>
      <c r="G42" t="str">
        <f>IFERROR(VLOOKUP(#REF!&amp;"_"&amp;H$7,Database!#REF!,6,0),"")</f>
        <v/>
      </c>
      <c r="H42" t="str">
        <f>IFERROR(VLOOKUP(#REF!&amp;"_"&amp;I$7,Database!#REF!,6,0),"")</f>
        <v/>
      </c>
      <c r="I42" t="str">
        <f>IFERROR(VLOOKUP(#REF!&amp;"_"&amp;J$7,Database!#REF!,6,0),"")</f>
        <v/>
      </c>
      <c r="J42" t="str">
        <f>IFERROR(VLOOKUP(#REF!&amp;"_"&amp;K$7,Database!#REF!,6,0),"")</f>
        <v/>
      </c>
      <c r="K42" t="str">
        <f>IFERROR(VLOOKUP(#REF!&amp;"_"&amp;L$7,Database!#REF!,6,0),"")</f>
        <v/>
      </c>
      <c r="L42" t="str">
        <f>IFERROR(VLOOKUP(#REF!&amp;"_"&amp;M$7,Database!#REF!,6,0),"")</f>
        <v/>
      </c>
      <c r="M42" t="str">
        <f>IFERROR(VLOOKUP(#REF!&amp;"_"&amp;N$7,Database!#REF!,6,0),"")</f>
        <v/>
      </c>
      <c r="N42" t="str">
        <f>IFERROR(VLOOKUP(#REF!&amp;"_"&amp;O$7,Database!#REF!,6,0),"")</f>
        <v/>
      </c>
      <c r="O42" t="str">
        <f>IFERROR(VLOOKUP(#REF!&amp;"_"&amp;P$7,Database!#REF!,6,0),"")</f>
        <v/>
      </c>
      <c r="P42" t="str">
        <f>IFERROR(VLOOKUP(#REF!&amp;"_"&amp;Q$7,Database!#REF!,6,0),"")</f>
        <v/>
      </c>
      <c r="Q42" t="str">
        <f>IFERROR(VLOOKUP(#REF!&amp;"_"&amp;R$7,Database!#REF!,6,0),"")</f>
        <v/>
      </c>
      <c r="R42" t="str">
        <f>IFERROR(VLOOKUP(#REF!&amp;"_"&amp;S$7,Database!#REF!,6,0),"")</f>
        <v/>
      </c>
      <c r="S42" t="str">
        <f>IFERROR(VLOOKUP(#REF!&amp;"_"&amp;T$7,Database!#REF!,6,0),"")</f>
        <v/>
      </c>
      <c r="T42" t="str">
        <f>IFERROR(VLOOKUP(#REF!&amp;"_"&amp;U$7,Database!#REF!,6,0),"")</f>
        <v/>
      </c>
      <c r="U42" t="str">
        <f>IFERROR(VLOOKUP(#REF!&amp;"_"&amp;V$7,Database!#REF!,6,0),"")</f>
        <v/>
      </c>
      <c r="V42" t="str">
        <f>IFERROR(VLOOKUP(#REF!&amp;"_"&amp;W$7,Database!#REF!,6,0),"")</f>
        <v/>
      </c>
      <c r="W42" t="str">
        <f>IFERROR(VLOOKUP(#REF!&amp;"_"&amp;X$7,Database!#REF!,6,0),"")</f>
        <v/>
      </c>
      <c r="X42" t="str">
        <f>IFERROR(VLOOKUP(#REF!&amp;"_"&amp;Y$7,Database!#REF!,6,0),"")</f>
        <v/>
      </c>
      <c r="Y42" t="str">
        <f>IFERROR(VLOOKUP(#REF!&amp;"_"&amp;Z$7,Database!#REF!,6,0),"")</f>
        <v/>
      </c>
      <c r="Z42" t="str">
        <f>IFERROR(VLOOKUP(#REF!&amp;"_"&amp;AA$7,Database!#REF!,6,0),"")</f>
        <v/>
      </c>
      <c r="AA42" t="str">
        <f>IFERROR(VLOOKUP(#REF!&amp;"_"&amp;AB$7,Database!#REF!,6,0),"")</f>
        <v/>
      </c>
      <c r="AB42" t="str">
        <f>IFERROR(VLOOKUP(#REF!&amp;"_"&amp;AC$7,Database!#REF!,6,0),"")</f>
        <v/>
      </c>
      <c r="AC42" t="str">
        <f>IFERROR(VLOOKUP(#REF!&amp;"_"&amp;AD$7,Database!#REF!,6,0),"")</f>
        <v/>
      </c>
      <c r="AD42" t="str">
        <f>IFERROR(VLOOKUP(#REF!&amp;"_"&amp;AE$7,Database!#REF!,6,0),"")</f>
        <v/>
      </c>
      <c r="AE42" t="str">
        <f>IFERROR(VLOOKUP(#REF!&amp;"_"&amp;AF$7,Database!#REF!,6,0),"")</f>
        <v/>
      </c>
      <c r="AF42" t="str">
        <f>IFERROR(VLOOKUP(#REF!&amp;"_"&amp;AG$7,Database!#REF!,6,0),"")</f>
        <v/>
      </c>
      <c r="AG42" t="str">
        <f>IFERROR(VLOOKUP(#REF!&amp;"_"&amp;AH$7,Database!#REF!,6,0),"")</f>
        <v/>
      </c>
      <c r="AH42" t="str">
        <f>IFERROR(VLOOKUP(#REF!&amp;"_"&amp;AI$7,Database!#REF!,6,0),"")</f>
        <v/>
      </c>
      <c r="AI42" t="str">
        <f>IFERROR(VLOOKUP(#REF!&amp;"_"&amp;AJ$7,Database!#REF!,6,0),"")</f>
        <v/>
      </c>
      <c r="AJ42" t="str">
        <f>IFERROR(VLOOKUP(#REF!&amp;"_"&amp;AK$7,Database!#REF!,6,0),"")</f>
        <v/>
      </c>
      <c r="AK42" t="str">
        <f>IFERROR(VLOOKUP(#REF!&amp;"_"&amp;AL$7,Database!#REF!,6,0),"")</f>
        <v/>
      </c>
    </row>
    <row r="43" spans="2:37" x14ac:dyDescent="0.25">
      <c r="B43" t="str">
        <f>IF('Employee Master'!B37="","",'Employee Master'!B37)</f>
        <v/>
      </c>
      <c r="G43" t="str">
        <f>IFERROR(VLOOKUP(#REF!&amp;"_"&amp;H$7,Database!#REF!,6,0),"")</f>
        <v/>
      </c>
      <c r="H43" t="str">
        <f>IFERROR(VLOOKUP(#REF!&amp;"_"&amp;I$7,Database!#REF!,6,0),"")</f>
        <v/>
      </c>
      <c r="I43" t="str">
        <f>IFERROR(VLOOKUP(#REF!&amp;"_"&amp;J$7,Database!#REF!,6,0),"")</f>
        <v/>
      </c>
      <c r="J43" t="str">
        <f>IFERROR(VLOOKUP(#REF!&amp;"_"&amp;K$7,Database!#REF!,6,0),"")</f>
        <v/>
      </c>
      <c r="K43" t="str">
        <f>IFERROR(VLOOKUP(#REF!&amp;"_"&amp;L$7,Database!#REF!,6,0),"")</f>
        <v/>
      </c>
      <c r="L43" t="str">
        <f>IFERROR(VLOOKUP(#REF!&amp;"_"&amp;M$7,Database!#REF!,6,0),"")</f>
        <v/>
      </c>
      <c r="M43" t="str">
        <f>IFERROR(VLOOKUP(#REF!&amp;"_"&amp;N$7,Database!#REF!,6,0),"")</f>
        <v/>
      </c>
      <c r="N43" t="str">
        <f>IFERROR(VLOOKUP(#REF!&amp;"_"&amp;O$7,Database!#REF!,6,0),"")</f>
        <v/>
      </c>
      <c r="O43" t="str">
        <f>IFERROR(VLOOKUP(#REF!&amp;"_"&amp;P$7,Database!#REF!,6,0),"")</f>
        <v/>
      </c>
      <c r="P43" t="str">
        <f>IFERROR(VLOOKUP(#REF!&amp;"_"&amp;Q$7,Database!#REF!,6,0),"")</f>
        <v/>
      </c>
      <c r="Q43" t="str">
        <f>IFERROR(VLOOKUP(#REF!&amp;"_"&amp;R$7,Database!#REF!,6,0),"")</f>
        <v/>
      </c>
      <c r="R43" t="str">
        <f>IFERROR(VLOOKUP(#REF!&amp;"_"&amp;S$7,Database!#REF!,6,0),"")</f>
        <v/>
      </c>
      <c r="S43" t="str">
        <f>IFERROR(VLOOKUP(#REF!&amp;"_"&amp;T$7,Database!#REF!,6,0),"")</f>
        <v/>
      </c>
      <c r="T43" t="str">
        <f>IFERROR(VLOOKUP(#REF!&amp;"_"&amp;U$7,Database!#REF!,6,0),"")</f>
        <v/>
      </c>
      <c r="U43" t="str">
        <f>IFERROR(VLOOKUP(#REF!&amp;"_"&amp;V$7,Database!#REF!,6,0),"")</f>
        <v/>
      </c>
      <c r="V43" t="str">
        <f>IFERROR(VLOOKUP(#REF!&amp;"_"&amp;W$7,Database!#REF!,6,0),"")</f>
        <v/>
      </c>
      <c r="W43" t="str">
        <f>IFERROR(VLOOKUP(#REF!&amp;"_"&amp;X$7,Database!#REF!,6,0),"")</f>
        <v/>
      </c>
      <c r="X43" t="str">
        <f>IFERROR(VLOOKUP(#REF!&amp;"_"&amp;Y$7,Database!#REF!,6,0),"")</f>
        <v/>
      </c>
      <c r="Y43" t="str">
        <f>IFERROR(VLOOKUP(#REF!&amp;"_"&amp;Z$7,Database!#REF!,6,0),"")</f>
        <v/>
      </c>
      <c r="Z43" t="str">
        <f>IFERROR(VLOOKUP(#REF!&amp;"_"&amp;AA$7,Database!#REF!,6,0),"")</f>
        <v/>
      </c>
      <c r="AA43" t="str">
        <f>IFERROR(VLOOKUP(#REF!&amp;"_"&amp;AB$7,Database!#REF!,6,0),"")</f>
        <v/>
      </c>
      <c r="AB43" t="str">
        <f>IFERROR(VLOOKUP(#REF!&amp;"_"&amp;AC$7,Database!#REF!,6,0),"")</f>
        <v/>
      </c>
      <c r="AC43" t="str">
        <f>IFERROR(VLOOKUP(#REF!&amp;"_"&amp;AD$7,Database!#REF!,6,0),"")</f>
        <v/>
      </c>
      <c r="AD43" t="str">
        <f>IFERROR(VLOOKUP(#REF!&amp;"_"&amp;AE$7,Database!#REF!,6,0),"")</f>
        <v/>
      </c>
      <c r="AE43" t="str">
        <f>IFERROR(VLOOKUP(#REF!&amp;"_"&amp;AF$7,Database!#REF!,6,0),"")</f>
        <v/>
      </c>
      <c r="AF43" t="str">
        <f>IFERROR(VLOOKUP(#REF!&amp;"_"&amp;AG$7,Database!#REF!,6,0),"")</f>
        <v/>
      </c>
      <c r="AG43" t="str">
        <f>IFERROR(VLOOKUP(#REF!&amp;"_"&amp;AH$7,Database!#REF!,6,0),"")</f>
        <v/>
      </c>
      <c r="AH43" t="str">
        <f>IFERROR(VLOOKUP(#REF!&amp;"_"&amp;AI$7,Database!#REF!,6,0),"")</f>
        <v/>
      </c>
      <c r="AI43" t="str">
        <f>IFERROR(VLOOKUP(#REF!&amp;"_"&amp;AJ$7,Database!#REF!,6,0),"")</f>
        <v/>
      </c>
      <c r="AJ43" t="str">
        <f>IFERROR(VLOOKUP(#REF!&amp;"_"&amp;AK$7,Database!#REF!,6,0),"")</f>
        <v/>
      </c>
      <c r="AK43" t="str">
        <f>IFERROR(VLOOKUP(#REF!&amp;"_"&amp;AL$7,Database!#REF!,6,0),"")</f>
        <v/>
      </c>
    </row>
    <row r="44" spans="2:37" x14ac:dyDescent="0.25">
      <c r="B44" t="str">
        <f>IF('Employee Master'!B38="","",'Employee Master'!B38)</f>
        <v/>
      </c>
      <c r="G44" t="str">
        <f>IFERROR(VLOOKUP(#REF!&amp;"_"&amp;H$7,Database!#REF!,6,0),"")</f>
        <v/>
      </c>
      <c r="H44" t="str">
        <f>IFERROR(VLOOKUP(#REF!&amp;"_"&amp;I$7,Database!#REF!,6,0),"")</f>
        <v/>
      </c>
      <c r="I44" t="str">
        <f>IFERROR(VLOOKUP(#REF!&amp;"_"&amp;J$7,Database!#REF!,6,0),"")</f>
        <v/>
      </c>
      <c r="J44" t="str">
        <f>IFERROR(VLOOKUP(#REF!&amp;"_"&amp;K$7,Database!#REF!,6,0),"")</f>
        <v/>
      </c>
      <c r="K44" t="str">
        <f>IFERROR(VLOOKUP(#REF!&amp;"_"&amp;L$7,Database!#REF!,6,0),"")</f>
        <v/>
      </c>
      <c r="L44" t="str">
        <f>IFERROR(VLOOKUP(#REF!&amp;"_"&amp;M$7,Database!#REF!,6,0),"")</f>
        <v/>
      </c>
      <c r="M44" t="str">
        <f>IFERROR(VLOOKUP(#REF!&amp;"_"&amp;N$7,Database!#REF!,6,0),"")</f>
        <v/>
      </c>
      <c r="N44" t="str">
        <f>IFERROR(VLOOKUP(#REF!&amp;"_"&amp;O$7,Database!#REF!,6,0),"")</f>
        <v/>
      </c>
      <c r="O44" t="str">
        <f>IFERROR(VLOOKUP(#REF!&amp;"_"&amp;P$7,Database!#REF!,6,0),"")</f>
        <v/>
      </c>
      <c r="P44" t="str">
        <f>IFERROR(VLOOKUP(#REF!&amp;"_"&amp;Q$7,Database!#REF!,6,0),"")</f>
        <v/>
      </c>
      <c r="Q44" t="str">
        <f>IFERROR(VLOOKUP(#REF!&amp;"_"&amp;R$7,Database!#REF!,6,0),"")</f>
        <v/>
      </c>
      <c r="R44" t="str">
        <f>IFERROR(VLOOKUP(#REF!&amp;"_"&amp;S$7,Database!#REF!,6,0),"")</f>
        <v/>
      </c>
      <c r="S44" t="str">
        <f>IFERROR(VLOOKUP(#REF!&amp;"_"&amp;T$7,Database!#REF!,6,0),"")</f>
        <v/>
      </c>
      <c r="T44" t="str">
        <f>IFERROR(VLOOKUP(#REF!&amp;"_"&amp;U$7,Database!#REF!,6,0),"")</f>
        <v/>
      </c>
      <c r="U44" t="str">
        <f>IFERROR(VLOOKUP(#REF!&amp;"_"&amp;V$7,Database!#REF!,6,0),"")</f>
        <v/>
      </c>
      <c r="V44" t="str">
        <f>IFERROR(VLOOKUP(#REF!&amp;"_"&amp;W$7,Database!#REF!,6,0),"")</f>
        <v/>
      </c>
      <c r="W44" t="str">
        <f>IFERROR(VLOOKUP(#REF!&amp;"_"&amp;X$7,Database!#REF!,6,0),"")</f>
        <v/>
      </c>
      <c r="X44" t="str">
        <f>IFERROR(VLOOKUP(#REF!&amp;"_"&amp;Y$7,Database!#REF!,6,0),"")</f>
        <v/>
      </c>
      <c r="Y44" t="str">
        <f>IFERROR(VLOOKUP(#REF!&amp;"_"&amp;Z$7,Database!#REF!,6,0),"")</f>
        <v/>
      </c>
      <c r="Z44" t="str">
        <f>IFERROR(VLOOKUP(#REF!&amp;"_"&amp;AA$7,Database!#REF!,6,0),"")</f>
        <v/>
      </c>
      <c r="AA44" t="str">
        <f>IFERROR(VLOOKUP(#REF!&amp;"_"&amp;AB$7,Database!#REF!,6,0),"")</f>
        <v/>
      </c>
      <c r="AB44" t="str">
        <f>IFERROR(VLOOKUP(#REF!&amp;"_"&amp;AC$7,Database!#REF!,6,0),"")</f>
        <v/>
      </c>
      <c r="AC44" t="str">
        <f>IFERROR(VLOOKUP(#REF!&amp;"_"&amp;AD$7,Database!#REF!,6,0),"")</f>
        <v/>
      </c>
      <c r="AD44" t="str">
        <f>IFERROR(VLOOKUP(#REF!&amp;"_"&amp;AE$7,Database!#REF!,6,0),"")</f>
        <v/>
      </c>
      <c r="AE44" t="str">
        <f>IFERROR(VLOOKUP(#REF!&amp;"_"&amp;AF$7,Database!#REF!,6,0),"")</f>
        <v/>
      </c>
      <c r="AF44" t="str">
        <f>IFERROR(VLOOKUP(#REF!&amp;"_"&amp;AG$7,Database!#REF!,6,0),"")</f>
        <v/>
      </c>
      <c r="AG44" t="str">
        <f>IFERROR(VLOOKUP(#REF!&amp;"_"&amp;AH$7,Database!#REF!,6,0),"")</f>
        <v/>
      </c>
      <c r="AH44" t="str">
        <f>IFERROR(VLOOKUP(#REF!&amp;"_"&amp;AI$7,Database!#REF!,6,0),"")</f>
        <v/>
      </c>
      <c r="AI44" t="str">
        <f>IFERROR(VLOOKUP(#REF!&amp;"_"&amp;AJ$7,Database!#REF!,6,0),"")</f>
        <v/>
      </c>
      <c r="AJ44" t="str">
        <f>IFERROR(VLOOKUP(#REF!&amp;"_"&amp;AK$7,Database!#REF!,6,0),"")</f>
        <v/>
      </c>
      <c r="AK44" t="str">
        <f>IFERROR(VLOOKUP(#REF!&amp;"_"&amp;AL$7,Database!#REF!,6,0),"")</f>
        <v/>
      </c>
    </row>
    <row r="45" spans="2:37" x14ac:dyDescent="0.25">
      <c r="B45" t="str">
        <f>IF('Employee Master'!B39="","",'Employee Master'!B39)</f>
        <v/>
      </c>
      <c r="G45" t="str">
        <f>IFERROR(VLOOKUP(#REF!&amp;"_"&amp;H$7,Database!#REF!,6,0),"")</f>
        <v/>
      </c>
      <c r="H45" t="str">
        <f>IFERROR(VLOOKUP(#REF!&amp;"_"&amp;I$7,Database!#REF!,6,0),"")</f>
        <v/>
      </c>
      <c r="I45" t="str">
        <f>IFERROR(VLOOKUP(#REF!&amp;"_"&amp;J$7,Database!#REF!,6,0),"")</f>
        <v/>
      </c>
      <c r="J45" t="str">
        <f>IFERROR(VLOOKUP(#REF!&amp;"_"&amp;K$7,Database!#REF!,6,0),"")</f>
        <v/>
      </c>
      <c r="K45" t="str">
        <f>IFERROR(VLOOKUP(#REF!&amp;"_"&amp;L$7,Database!#REF!,6,0),"")</f>
        <v/>
      </c>
      <c r="L45" t="str">
        <f>IFERROR(VLOOKUP(#REF!&amp;"_"&amp;M$7,Database!#REF!,6,0),"")</f>
        <v/>
      </c>
      <c r="M45" t="str">
        <f>IFERROR(VLOOKUP(#REF!&amp;"_"&amp;N$7,Database!#REF!,6,0),"")</f>
        <v/>
      </c>
      <c r="N45" t="str">
        <f>IFERROR(VLOOKUP(#REF!&amp;"_"&amp;O$7,Database!#REF!,6,0),"")</f>
        <v/>
      </c>
      <c r="O45" t="str">
        <f>IFERROR(VLOOKUP(#REF!&amp;"_"&amp;P$7,Database!#REF!,6,0),"")</f>
        <v/>
      </c>
      <c r="P45" t="str">
        <f>IFERROR(VLOOKUP(#REF!&amp;"_"&amp;Q$7,Database!#REF!,6,0),"")</f>
        <v/>
      </c>
      <c r="Q45" t="str">
        <f>IFERROR(VLOOKUP(#REF!&amp;"_"&amp;R$7,Database!#REF!,6,0),"")</f>
        <v/>
      </c>
      <c r="R45" t="str">
        <f>IFERROR(VLOOKUP(#REF!&amp;"_"&amp;S$7,Database!#REF!,6,0),"")</f>
        <v/>
      </c>
      <c r="S45" t="str">
        <f>IFERROR(VLOOKUP(#REF!&amp;"_"&amp;T$7,Database!#REF!,6,0),"")</f>
        <v/>
      </c>
      <c r="T45" t="str">
        <f>IFERROR(VLOOKUP(#REF!&amp;"_"&amp;U$7,Database!#REF!,6,0),"")</f>
        <v/>
      </c>
      <c r="U45" t="str">
        <f>IFERROR(VLOOKUP(#REF!&amp;"_"&amp;V$7,Database!#REF!,6,0),"")</f>
        <v/>
      </c>
      <c r="V45" t="str">
        <f>IFERROR(VLOOKUP(#REF!&amp;"_"&amp;W$7,Database!#REF!,6,0),"")</f>
        <v/>
      </c>
      <c r="W45" t="str">
        <f>IFERROR(VLOOKUP(#REF!&amp;"_"&amp;X$7,Database!#REF!,6,0),"")</f>
        <v/>
      </c>
      <c r="X45" t="str">
        <f>IFERROR(VLOOKUP(#REF!&amp;"_"&amp;Y$7,Database!#REF!,6,0),"")</f>
        <v/>
      </c>
      <c r="Y45" t="str">
        <f>IFERROR(VLOOKUP(#REF!&amp;"_"&amp;Z$7,Database!#REF!,6,0),"")</f>
        <v/>
      </c>
      <c r="Z45" t="str">
        <f>IFERROR(VLOOKUP(#REF!&amp;"_"&amp;AA$7,Database!#REF!,6,0),"")</f>
        <v/>
      </c>
      <c r="AA45" t="str">
        <f>IFERROR(VLOOKUP(#REF!&amp;"_"&amp;AB$7,Database!#REF!,6,0),"")</f>
        <v/>
      </c>
      <c r="AB45" t="str">
        <f>IFERROR(VLOOKUP(#REF!&amp;"_"&amp;AC$7,Database!#REF!,6,0),"")</f>
        <v/>
      </c>
      <c r="AC45" t="str">
        <f>IFERROR(VLOOKUP(#REF!&amp;"_"&amp;AD$7,Database!#REF!,6,0),"")</f>
        <v/>
      </c>
      <c r="AD45" t="str">
        <f>IFERROR(VLOOKUP(#REF!&amp;"_"&amp;AE$7,Database!#REF!,6,0),"")</f>
        <v/>
      </c>
      <c r="AE45" t="str">
        <f>IFERROR(VLOOKUP(#REF!&amp;"_"&amp;AF$7,Database!#REF!,6,0),"")</f>
        <v/>
      </c>
      <c r="AF45" t="str">
        <f>IFERROR(VLOOKUP(#REF!&amp;"_"&amp;AG$7,Database!#REF!,6,0),"")</f>
        <v/>
      </c>
      <c r="AG45" t="str">
        <f>IFERROR(VLOOKUP(#REF!&amp;"_"&amp;AH$7,Database!#REF!,6,0),"")</f>
        <v/>
      </c>
      <c r="AH45" t="str">
        <f>IFERROR(VLOOKUP(#REF!&amp;"_"&amp;AI$7,Database!#REF!,6,0),"")</f>
        <v/>
      </c>
      <c r="AI45" t="str">
        <f>IFERROR(VLOOKUP(#REF!&amp;"_"&amp;AJ$7,Database!#REF!,6,0),"")</f>
        <v/>
      </c>
      <c r="AJ45" t="str">
        <f>IFERROR(VLOOKUP(#REF!&amp;"_"&amp;AK$7,Database!#REF!,6,0),"")</f>
        <v/>
      </c>
      <c r="AK45" t="str">
        <f>IFERROR(VLOOKUP(#REF!&amp;"_"&amp;AL$7,Database!#REF!,6,0),"")</f>
        <v/>
      </c>
    </row>
    <row r="46" spans="2:37" x14ac:dyDescent="0.25">
      <c r="B46" t="str">
        <f>IF('Employee Master'!B40="","",'Employee Master'!B40)</f>
        <v/>
      </c>
      <c r="G46" t="str">
        <f>IFERROR(VLOOKUP(#REF!&amp;"_"&amp;H$7,Database!#REF!,6,0),"")</f>
        <v/>
      </c>
      <c r="H46" t="str">
        <f>IFERROR(VLOOKUP(#REF!&amp;"_"&amp;I$7,Database!#REF!,6,0),"")</f>
        <v/>
      </c>
      <c r="I46" t="str">
        <f>IFERROR(VLOOKUP(#REF!&amp;"_"&amp;J$7,Database!#REF!,6,0),"")</f>
        <v/>
      </c>
      <c r="J46" t="str">
        <f>IFERROR(VLOOKUP(#REF!&amp;"_"&amp;K$7,Database!#REF!,6,0),"")</f>
        <v/>
      </c>
      <c r="K46" t="str">
        <f>IFERROR(VLOOKUP(#REF!&amp;"_"&amp;L$7,Database!#REF!,6,0),"")</f>
        <v/>
      </c>
      <c r="L46" t="str">
        <f>IFERROR(VLOOKUP(#REF!&amp;"_"&amp;M$7,Database!#REF!,6,0),"")</f>
        <v/>
      </c>
      <c r="M46" t="str">
        <f>IFERROR(VLOOKUP(#REF!&amp;"_"&amp;N$7,Database!#REF!,6,0),"")</f>
        <v/>
      </c>
      <c r="N46" t="str">
        <f>IFERROR(VLOOKUP(#REF!&amp;"_"&amp;O$7,Database!#REF!,6,0),"")</f>
        <v/>
      </c>
      <c r="O46" t="str">
        <f>IFERROR(VLOOKUP(#REF!&amp;"_"&amp;P$7,Database!#REF!,6,0),"")</f>
        <v/>
      </c>
      <c r="P46" t="str">
        <f>IFERROR(VLOOKUP(#REF!&amp;"_"&amp;Q$7,Database!#REF!,6,0),"")</f>
        <v/>
      </c>
      <c r="Q46" t="str">
        <f>IFERROR(VLOOKUP(#REF!&amp;"_"&amp;R$7,Database!#REF!,6,0),"")</f>
        <v/>
      </c>
      <c r="R46" t="str">
        <f>IFERROR(VLOOKUP(#REF!&amp;"_"&amp;S$7,Database!#REF!,6,0),"")</f>
        <v/>
      </c>
      <c r="S46" t="str">
        <f>IFERROR(VLOOKUP(#REF!&amp;"_"&amp;T$7,Database!#REF!,6,0),"")</f>
        <v/>
      </c>
      <c r="T46" t="str">
        <f>IFERROR(VLOOKUP(#REF!&amp;"_"&amp;U$7,Database!#REF!,6,0),"")</f>
        <v/>
      </c>
      <c r="U46" t="str">
        <f>IFERROR(VLOOKUP(#REF!&amp;"_"&amp;V$7,Database!#REF!,6,0),"")</f>
        <v/>
      </c>
      <c r="V46" t="str">
        <f>IFERROR(VLOOKUP(#REF!&amp;"_"&amp;W$7,Database!#REF!,6,0),"")</f>
        <v/>
      </c>
      <c r="W46" t="str">
        <f>IFERROR(VLOOKUP(#REF!&amp;"_"&amp;X$7,Database!#REF!,6,0),"")</f>
        <v/>
      </c>
      <c r="X46" t="str">
        <f>IFERROR(VLOOKUP(#REF!&amp;"_"&amp;Y$7,Database!#REF!,6,0),"")</f>
        <v/>
      </c>
      <c r="Y46" t="str">
        <f>IFERROR(VLOOKUP(#REF!&amp;"_"&amp;Z$7,Database!#REF!,6,0),"")</f>
        <v/>
      </c>
      <c r="Z46" t="str">
        <f>IFERROR(VLOOKUP(#REF!&amp;"_"&amp;AA$7,Database!#REF!,6,0),"")</f>
        <v/>
      </c>
      <c r="AA46" t="str">
        <f>IFERROR(VLOOKUP(#REF!&amp;"_"&amp;AB$7,Database!#REF!,6,0),"")</f>
        <v/>
      </c>
      <c r="AB46" t="str">
        <f>IFERROR(VLOOKUP(#REF!&amp;"_"&amp;AC$7,Database!#REF!,6,0),"")</f>
        <v/>
      </c>
      <c r="AC46" t="str">
        <f>IFERROR(VLOOKUP(#REF!&amp;"_"&amp;AD$7,Database!#REF!,6,0),"")</f>
        <v/>
      </c>
      <c r="AD46" t="str">
        <f>IFERROR(VLOOKUP(#REF!&amp;"_"&amp;AE$7,Database!#REF!,6,0),"")</f>
        <v/>
      </c>
      <c r="AE46" t="str">
        <f>IFERROR(VLOOKUP(#REF!&amp;"_"&amp;AF$7,Database!#REF!,6,0),"")</f>
        <v/>
      </c>
      <c r="AF46" t="str">
        <f>IFERROR(VLOOKUP(#REF!&amp;"_"&amp;AG$7,Database!#REF!,6,0),"")</f>
        <v/>
      </c>
      <c r="AG46" t="str">
        <f>IFERROR(VLOOKUP(#REF!&amp;"_"&amp;AH$7,Database!#REF!,6,0),"")</f>
        <v/>
      </c>
      <c r="AH46" t="str">
        <f>IFERROR(VLOOKUP(#REF!&amp;"_"&amp;AI$7,Database!#REF!,6,0),"")</f>
        <v/>
      </c>
      <c r="AI46" t="str">
        <f>IFERROR(VLOOKUP(#REF!&amp;"_"&amp;AJ$7,Database!#REF!,6,0),"")</f>
        <v/>
      </c>
      <c r="AJ46" t="str">
        <f>IFERROR(VLOOKUP(#REF!&amp;"_"&amp;AK$7,Database!#REF!,6,0),"")</f>
        <v/>
      </c>
      <c r="AK46" t="str">
        <f>IFERROR(VLOOKUP(#REF!&amp;"_"&amp;AL$7,Database!#REF!,6,0),"")</f>
        <v/>
      </c>
    </row>
    <row r="47" spans="2:37" x14ac:dyDescent="0.25">
      <c r="B47" t="str">
        <f>IF('Employee Master'!B41="","",'Employee Master'!B41)</f>
        <v/>
      </c>
      <c r="G47" t="str">
        <f>IFERROR(VLOOKUP(#REF!&amp;"_"&amp;H$7,Database!#REF!,6,0),"")</f>
        <v/>
      </c>
      <c r="H47" t="str">
        <f>IFERROR(VLOOKUP(#REF!&amp;"_"&amp;I$7,Database!#REF!,6,0),"")</f>
        <v/>
      </c>
      <c r="I47" t="str">
        <f>IFERROR(VLOOKUP(#REF!&amp;"_"&amp;J$7,Database!#REF!,6,0),"")</f>
        <v/>
      </c>
      <c r="J47" t="str">
        <f>IFERROR(VLOOKUP(#REF!&amp;"_"&amp;K$7,Database!#REF!,6,0),"")</f>
        <v/>
      </c>
      <c r="K47" t="str">
        <f>IFERROR(VLOOKUP(#REF!&amp;"_"&amp;L$7,Database!#REF!,6,0),"")</f>
        <v/>
      </c>
      <c r="L47" t="str">
        <f>IFERROR(VLOOKUP(#REF!&amp;"_"&amp;M$7,Database!#REF!,6,0),"")</f>
        <v/>
      </c>
      <c r="M47" t="str">
        <f>IFERROR(VLOOKUP(#REF!&amp;"_"&amp;N$7,Database!#REF!,6,0),"")</f>
        <v/>
      </c>
      <c r="N47" t="str">
        <f>IFERROR(VLOOKUP(#REF!&amp;"_"&amp;O$7,Database!#REF!,6,0),"")</f>
        <v/>
      </c>
      <c r="O47" t="str">
        <f>IFERROR(VLOOKUP(#REF!&amp;"_"&amp;P$7,Database!#REF!,6,0),"")</f>
        <v/>
      </c>
      <c r="P47" t="str">
        <f>IFERROR(VLOOKUP(#REF!&amp;"_"&amp;Q$7,Database!#REF!,6,0),"")</f>
        <v/>
      </c>
      <c r="Q47" t="str">
        <f>IFERROR(VLOOKUP(#REF!&amp;"_"&amp;R$7,Database!#REF!,6,0),"")</f>
        <v/>
      </c>
      <c r="R47" t="str">
        <f>IFERROR(VLOOKUP(#REF!&amp;"_"&amp;S$7,Database!#REF!,6,0),"")</f>
        <v/>
      </c>
      <c r="S47" t="str">
        <f>IFERROR(VLOOKUP(#REF!&amp;"_"&amp;T$7,Database!#REF!,6,0),"")</f>
        <v/>
      </c>
      <c r="T47" t="str">
        <f>IFERROR(VLOOKUP(#REF!&amp;"_"&amp;U$7,Database!#REF!,6,0),"")</f>
        <v/>
      </c>
      <c r="U47" t="str">
        <f>IFERROR(VLOOKUP(#REF!&amp;"_"&amp;V$7,Database!#REF!,6,0),"")</f>
        <v/>
      </c>
      <c r="V47" t="str">
        <f>IFERROR(VLOOKUP(#REF!&amp;"_"&amp;W$7,Database!#REF!,6,0),"")</f>
        <v/>
      </c>
      <c r="W47" t="str">
        <f>IFERROR(VLOOKUP(#REF!&amp;"_"&amp;X$7,Database!#REF!,6,0),"")</f>
        <v/>
      </c>
      <c r="X47" t="str">
        <f>IFERROR(VLOOKUP(#REF!&amp;"_"&amp;Y$7,Database!#REF!,6,0),"")</f>
        <v/>
      </c>
      <c r="Y47" t="str">
        <f>IFERROR(VLOOKUP(#REF!&amp;"_"&amp;Z$7,Database!#REF!,6,0),"")</f>
        <v/>
      </c>
      <c r="Z47" t="str">
        <f>IFERROR(VLOOKUP(#REF!&amp;"_"&amp;AA$7,Database!#REF!,6,0),"")</f>
        <v/>
      </c>
      <c r="AA47" t="str">
        <f>IFERROR(VLOOKUP(#REF!&amp;"_"&amp;AB$7,Database!#REF!,6,0),"")</f>
        <v/>
      </c>
      <c r="AB47" t="str">
        <f>IFERROR(VLOOKUP(#REF!&amp;"_"&amp;AC$7,Database!#REF!,6,0),"")</f>
        <v/>
      </c>
      <c r="AC47" t="str">
        <f>IFERROR(VLOOKUP(#REF!&amp;"_"&amp;AD$7,Database!#REF!,6,0),"")</f>
        <v/>
      </c>
      <c r="AD47" t="str">
        <f>IFERROR(VLOOKUP(#REF!&amp;"_"&amp;AE$7,Database!#REF!,6,0),"")</f>
        <v/>
      </c>
      <c r="AE47" t="str">
        <f>IFERROR(VLOOKUP(#REF!&amp;"_"&amp;AF$7,Database!#REF!,6,0),"")</f>
        <v/>
      </c>
      <c r="AF47" t="str">
        <f>IFERROR(VLOOKUP(#REF!&amp;"_"&amp;AG$7,Database!#REF!,6,0),"")</f>
        <v/>
      </c>
      <c r="AG47" t="str">
        <f>IFERROR(VLOOKUP(#REF!&amp;"_"&amp;AH$7,Database!#REF!,6,0),"")</f>
        <v/>
      </c>
      <c r="AH47" t="str">
        <f>IFERROR(VLOOKUP(#REF!&amp;"_"&amp;AI$7,Database!#REF!,6,0),"")</f>
        <v/>
      </c>
      <c r="AI47" t="str">
        <f>IFERROR(VLOOKUP(#REF!&amp;"_"&amp;AJ$7,Database!#REF!,6,0),"")</f>
        <v/>
      </c>
      <c r="AJ47" t="str">
        <f>IFERROR(VLOOKUP(#REF!&amp;"_"&amp;AK$7,Database!#REF!,6,0),"")</f>
        <v/>
      </c>
      <c r="AK47" t="str">
        <f>IFERROR(VLOOKUP(#REF!&amp;"_"&amp;AL$7,Database!#REF!,6,0),"")</f>
        <v/>
      </c>
    </row>
    <row r="48" spans="2:37" x14ac:dyDescent="0.25">
      <c r="B48" t="str">
        <f>IF('Employee Master'!B42="","",'Employee Master'!B42)</f>
        <v/>
      </c>
      <c r="G48" t="str">
        <f>IFERROR(VLOOKUP(#REF!&amp;"_"&amp;H$7,Database!#REF!,6,0),"")</f>
        <v/>
      </c>
      <c r="H48" t="str">
        <f>IFERROR(VLOOKUP(#REF!&amp;"_"&amp;I$7,Database!#REF!,6,0),"")</f>
        <v/>
      </c>
      <c r="I48" t="str">
        <f>IFERROR(VLOOKUP(#REF!&amp;"_"&amp;J$7,Database!#REF!,6,0),"")</f>
        <v/>
      </c>
      <c r="J48" t="str">
        <f>IFERROR(VLOOKUP(#REF!&amp;"_"&amp;K$7,Database!#REF!,6,0),"")</f>
        <v/>
      </c>
      <c r="K48" t="str">
        <f>IFERROR(VLOOKUP(#REF!&amp;"_"&amp;L$7,Database!#REF!,6,0),"")</f>
        <v/>
      </c>
      <c r="L48" t="str">
        <f>IFERROR(VLOOKUP(#REF!&amp;"_"&amp;M$7,Database!#REF!,6,0),"")</f>
        <v/>
      </c>
      <c r="M48" t="str">
        <f>IFERROR(VLOOKUP(#REF!&amp;"_"&amp;N$7,Database!#REF!,6,0),"")</f>
        <v/>
      </c>
      <c r="N48" t="str">
        <f>IFERROR(VLOOKUP(#REF!&amp;"_"&amp;O$7,Database!#REF!,6,0),"")</f>
        <v/>
      </c>
      <c r="O48" t="str">
        <f>IFERROR(VLOOKUP(#REF!&amp;"_"&amp;P$7,Database!#REF!,6,0),"")</f>
        <v/>
      </c>
      <c r="P48" t="str">
        <f>IFERROR(VLOOKUP(#REF!&amp;"_"&amp;Q$7,Database!#REF!,6,0),"")</f>
        <v/>
      </c>
      <c r="Q48" t="str">
        <f>IFERROR(VLOOKUP(#REF!&amp;"_"&amp;R$7,Database!#REF!,6,0),"")</f>
        <v/>
      </c>
      <c r="R48" t="str">
        <f>IFERROR(VLOOKUP(#REF!&amp;"_"&amp;S$7,Database!#REF!,6,0),"")</f>
        <v/>
      </c>
      <c r="S48" t="str">
        <f>IFERROR(VLOOKUP(#REF!&amp;"_"&amp;T$7,Database!#REF!,6,0),"")</f>
        <v/>
      </c>
      <c r="T48" t="str">
        <f>IFERROR(VLOOKUP(#REF!&amp;"_"&amp;U$7,Database!#REF!,6,0),"")</f>
        <v/>
      </c>
      <c r="U48" t="str">
        <f>IFERROR(VLOOKUP(#REF!&amp;"_"&amp;V$7,Database!#REF!,6,0),"")</f>
        <v/>
      </c>
      <c r="V48" t="str">
        <f>IFERROR(VLOOKUP(#REF!&amp;"_"&amp;W$7,Database!#REF!,6,0),"")</f>
        <v/>
      </c>
      <c r="W48" t="str">
        <f>IFERROR(VLOOKUP(#REF!&amp;"_"&amp;X$7,Database!#REF!,6,0),"")</f>
        <v/>
      </c>
      <c r="X48" t="str">
        <f>IFERROR(VLOOKUP(#REF!&amp;"_"&amp;Y$7,Database!#REF!,6,0),"")</f>
        <v/>
      </c>
      <c r="Y48" t="str">
        <f>IFERROR(VLOOKUP(#REF!&amp;"_"&amp;Z$7,Database!#REF!,6,0),"")</f>
        <v/>
      </c>
      <c r="Z48" t="str">
        <f>IFERROR(VLOOKUP(#REF!&amp;"_"&amp;AA$7,Database!#REF!,6,0),"")</f>
        <v/>
      </c>
      <c r="AA48" t="str">
        <f>IFERROR(VLOOKUP(#REF!&amp;"_"&amp;AB$7,Database!#REF!,6,0),"")</f>
        <v/>
      </c>
      <c r="AB48" t="str">
        <f>IFERROR(VLOOKUP(#REF!&amp;"_"&amp;AC$7,Database!#REF!,6,0),"")</f>
        <v/>
      </c>
      <c r="AC48" t="str">
        <f>IFERROR(VLOOKUP(#REF!&amp;"_"&amp;AD$7,Database!#REF!,6,0),"")</f>
        <v/>
      </c>
      <c r="AD48" t="str">
        <f>IFERROR(VLOOKUP(#REF!&amp;"_"&amp;AE$7,Database!#REF!,6,0),"")</f>
        <v/>
      </c>
      <c r="AE48" t="str">
        <f>IFERROR(VLOOKUP(#REF!&amp;"_"&amp;AF$7,Database!#REF!,6,0),"")</f>
        <v/>
      </c>
      <c r="AF48" t="str">
        <f>IFERROR(VLOOKUP(#REF!&amp;"_"&amp;AG$7,Database!#REF!,6,0),"")</f>
        <v/>
      </c>
      <c r="AG48" t="str">
        <f>IFERROR(VLOOKUP(#REF!&amp;"_"&amp;AH$7,Database!#REF!,6,0),"")</f>
        <v/>
      </c>
      <c r="AH48" t="str">
        <f>IFERROR(VLOOKUP(#REF!&amp;"_"&amp;AI$7,Database!#REF!,6,0),"")</f>
        <v/>
      </c>
      <c r="AI48" t="str">
        <f>IFERROR(VLOOKUP(#REF!&amp;"_"&amp;AJ$7,Database!#REF!,6,0),"")</f>
        <v/>
      </c>
      <c r="AJ48" t="str">
        <f>IFERROR(VLOOKUP(#REF!&amp;"_"&amp;AK$7,Database!#REF!,6,0),"")</f>
        <v/>
      </c>
      <c r="AK48" t="str">
        <f>IFERROR(VLOOKUP(#REF!&amp;"_"&amp;AL$7,Database!#REF!,6,0),"")</f>
        <v/>
      </c>
    </row>
    <row r="49" spans="2:37" x14ac:dyDescent="0.25">
      <c r="B49" t="str">
        <f>IF('Employee Master'!B43="","",'Employee Master'!B43)</f>
        <v/>
      </c>
      <c r="G49" t="str">
        <f>IFERROR(VLOOKUP(#REF!&amp;"_"&amp;H$7,Database!#REF!,6,0),"")</f>
        <v/>
      </c>
      <c r="H49" t="str">
        <f>IFERROR(VLOOKUP(#REF!&amp;"_"&amp;I$7,Database!#REF!,6,0),"")</f>
        <v/>
      </c>
      <c r="I49" t="str">
        <f>IFERROR(VLOOKUP(#REF!&amp;"_"&amp;J$7,Database!#REF!,6,0),"")</f>
        <v/>
      </c>
      <c r="J49" t="str">
        <f>IFERROR(VLOOKUP(#REF!&amp;"_"&amp;K$7,Database!#REF!,6,0),"")</f>
        <v/>
      </c>
      <c r="K49" t="str">
        <f>IFERROR(VLOOKUP(#REF!&amp;"_"&amp;L$7,Database!#REF!,6,0),"")</f>
        <v/>
      </c>
      <c r="L49" t="str">
        <f>IFERROR(VLOOKUP(#REF!&amp;"_"&amp;M$7,Database!#REF!,6,0),"")</f>
        <v/>
      </c>
      <c r="M49" t="str">
        <f>IFERROR(VLOOKUP(#REF!&amp;"_"&amp;N$7,Database!#REF!,6,0),"")</f>
        <v/>
      </c>
      <c r="N49" t="str">
        <f>IFERROR(VLOOKUP(#REF!&amp;"_"&amp;O$7,Database!#REF!,6,0),"")</f>
        <v/>
      </c>
      <c r="O49" t="str">
        <f>IFERROR(VLOOKUP(#REF!&amp;"_"&amp;P$7,Database!#REF!,6,0),"")</f>
        <v/>
      </c>
      <c r="P49" t="str">
        <f>IFERROR(VLOOKUP(#REF!&amp;"_"&amp;Q$7,Database!#REF!,6,0),"")</f>
        <v/>
      </c>
      <c r="Q49" t="str">
        <f>IFERROR(VLOOKUP(#REF!&amp;"_"&amp;R$7,Database!#REF!,6,0),"")</f>
        <v/>
      </c>
      <c r="R49" t="str">
        <f>IFERROR(VLOOKUP(#REF!&amp;"_"&amp;S$7,Database!#REF!,6,0),"")</f>
        <v/>
      </c>
      <c r="S49" t="str">
        <f>IFERROR(VLOOKUP(#REF!&amp;"_"&amp;T$7,Database!#REF!,6,0),"")</f>
        <v/>
      </c>
      <c r="T49" t="str">
        <f>IFERROR(VLOOKUP(#REF!&amp;"_"&amp;U$7,Database!#REF!,6,0),"")</f>
        <v/>
      </c>
      <c r="U49" t="str">
        <f>IFERROR(VLOOKUP(#REF!&amp;"_"&amp;V$7,Database!#REF!,6,0),"")</f>
        <v/>
      </c>
      <c r="V49" t="str">
        <f>IFERROR(VLOOKUP(#REF!&amp;"_"&amp;W$7,Database!#REF!,6,0),"")</f>
        <v/>
      </c>
      <c r="W49" t="str">
        <f>IFERROR(VLOOKUP(#REF!&amp;"_"&amp;X$7,Database!#REF!,6,0),"")</f>
        <v/>
      </c>
      <c r="X49" t="str">
        <f>IFERROR(VLOOKUP(#REF!&amp;"_"&amp;Y$7,Database!#REF!,6,0),"")</f>
        <v/>
      </c>
      <c r="Y49" t="str">
        <f>IFERROR(VLOOKUP(#REF!&amp;"_"&amp;Z$7,Database!#REF!,6,0),"")</f>
        <v/>
      </c>
      <c r="Z49" t="str">
        <f>IFERROR(VLOOKUP(#REF!&amp;"_"&amp;AA$7,Database!#REF!,6,0),"")</f>
        <v/>
      </c>
      <c r="AA49" t="str">
        <f>IFERROR(VLOOKUP(#REF!&amp;"_"&amp;AB$7,Database!#REF!,6,0),"")</f>
        <v/>
      </c>
      <c r="AB49" t="str">
        <f>IFERROR(VLOOKUP(#REF!&amp;"_"&amp;AC$7,Database!#REF!,6,0),"")</f>
        <v/>
      </c>
      <c r="AC49" t="str">
        <f>IFERROR(VLOOKUP(#REF!&amp;"_"&amp;AD$7,Database!#REF!,6,0),"")</f>
        <v/>
      </c>
      <c r="AD49" t="str">
        <f>IFERROR(VLOOKUP(#REF!&amp;"_"&amp;AE$7,Database!#REF!,6,0),"")</f>
        <v/>
      </c>
      <c r="AE49" t="str">
        <f>IFERROR(VLOOKUP(#REF!&amp;"_"&amp;AF$7,Database!#REF!,6,0),"")</f>
        <v/>
      </c>
      <c r="AF49" t="str">
        <f>IFERROR(VLOOKUP(#REF!&amp;"_"&amp;AG$7,Database!#REF!,6,0),"")</f>
        <v/>
      </c>
      <c r="AG49" t="str">
        <f>IFERROR(VLOOKUP(#REF!&amp;"_"&amp;AH$7,Database!#REF!,6,0),"")</f>
        <v/>
      </c>
      <c r="AH49" t="str">
        <f>IFERROR(VLOOKUP(#REF!&amp;"_"&amp;AI$7,Database!#REF!,6,0),"")</f>
        <v/>
      </c>
      <c r="AI49" t="str">
        <f>IFERROR(VLOOKUP(#REF!&amp;"_"&amp;AJ$7,Database!#REF!,6,0),"")</f>
        <v/>
      </c>
      <c r="AJ49" t="str">
        <f>IFERROR(VLOOKUP(#REF!&amp;"_"&amp;AK$7,Database!#REF!,6,0),"")</f>
        <v/>
      </c>
      <c r="AK49" t="str">
        <f>IFERROR(VLOOKUP(#REF!&amp;"_"&amp;AL$7,Database!#REF!,6,0),"")</f>
        <v/>
      </c>
    </row>
    <row r="50" spans="2:37" x14ac:dyDescent="0.25">
      <c r="B50" t="str">
        <f>IF('Employee Master'!B44="","",'Employee Master'!B44)</f>
        <v/>
      </c>
      <c r="G50" t="str">
        <f>IFERROR(VLOOKUP(#REF!&amp;"_"&amp;H$7,Database!#REF!,6,0),"")</f>
        <v/>
      </c>
      <c r="H50" t="str">
        <f>IFERROR(VLOOKUP(#REF!&amp;"_"&amp;I$7,Database!#REF!,6,0),"")</f>
        <v/>
      </c>
      <c r="I50" t="str">
        <f>IFERROR(VLOOKUP(#REF!&amp;"_"&amp;J$7,Database!#REF!,6,0),"")</f>
        <v/>
      </c>
      <c r="J50" t="str">
        <f>IFERROR(VLOOKUP(#REF!&amp;"_"&amp;K$7,Database!#REF!,6,0),"")</f>
        <v/>
      </c>
      <c r="K50" t="str">
        <f>IFERROR(VLOOKUP(#REF!&amp;"_"&amp;L$7,Database!#REF!,6,0),"")</f>
        <v/>
      </c>
      <c r="L50" t="str">
        <f>IFERROR(VLOOKUP(#REF!&amp;"_"&amp;M$7,Database!#REF!,6,0),"")</f>
        <v/>
      </c>
      <c r="M50" t="str">
        <f>IFERROR(VLOOKUP(#REF!&amp;"_"&amp;N$7,Database!#REF!,6,0),"")</f>
        <v/>
      </c>
      <c r="N50" t="str">
        <f>IFERROR(VLOOKUP(#REF!&amp;"_"&amp;O$7,Database!#REF!,6,0),"")</f>
        <v/>
      </c>
      <c r="O50" t="str">
        <f>IFERROR(VLOOKUP(#REF!&amp;"_"&amp;P$7,Database!#REF!,6,0),"")</f>
        <v/>
      </c>
      <c r="P50" t="str">
        <f>IFERROR(VLOOKUP(#REF!&amp;"_"&amp;Q$7,Database!#REF!,6,0),"")</f>
        <v/>
      </c>
      <c r="Q50" t="str">
        <f>IFERROR(VLOOKUP(#REF!&amp;"_"&amp;R$7,Database!#REF!,6,0),"")</f>
        <v/>
      </c>
      <c r="R50" t="str">
        <f>IFERROR(VLOOKUP(#REF!&amp;"_"&amp;S$7,Database!#REF!,6,0),"")</f>
        <v/>
      </c>
      <c r="S50" t="str">
        <f>IFERROR(VLOOKUP(#REF!&amp;"_"&amp;T$7,Database!#REF!,6,0),"")</f>
        <v/>
      </c>
      <c r="T50" t="str">
        <f>IFERROR(VLOOKUP(#REF!&amp;"_"&amp;U$7,Database!#REF!,6,0),"")</f>
        <v/>
      </c>
      <c r="U50" t="str">
        <f>IFERROR(VLOOKUP(#REF!&amp;"_"&amp;V$7,Database!#REF!,6,0),"")</f>
        <v/>
      </c>
      <c r="V50" t="str">
        <f>IFERROR(VLOOKUP(#REF!&amp;"_"&amp;W$7,Database!#REF!,6,0),"")</f>
        <v/>
      </c>
      <c r="W50" t="str">
        <f>IFERROR(VLOOKUP(#REF!&amp;"_"&amp;X$7,Database!#REF!,6,0),"")</f>
        <v/>
      </c>
      <c r="X50" t="str">
        <f>IFERROR(VLOOKUP(#REF!&amp;"_"&amp;Y$7,Database!#REF!,6,0),"")</f>
        <v/>
      </c>
      <c r="Y50" t="str">
        <f>IFERROR(VLOOKUP(#REF!&amp;"_"&amp;Z$7,Database!#REF!,6,0),"")</f>
        <v/>
      </c>
      <c r="Z50" t="str">
        <f>IFERROR(VLOOKUP(#REF!&amp;"_"&amp;AA$7,Database!#REF!,6,0),"")</f>
        <v/>
      </c>
      <c r="AA50" t="str">
        <f>IFERROR(VLOOKUP(#REF!&amp;"_"&amp;AB$7,Database!#REF!,6,0),"")</f>
        <v/>
      </c>
      <c r="AB50" t="str">
        <f>IFERROR(VLOOKUP(#REF!&amp;"_"&amp;AC$7,Database!#REF!,6,0),"")</f>
        <v/>
      </c>
      <c r="AC50" t="str">
        <f>IFERROR(VLOOKUP(#REF!&amp;"_"&amp;AD$7,Database!#REF!,6,0),"")</f>
        <v/>
      </c>
      <c r="AD50" t="str">
        <f>IFERROR(VLOOKUP(#REF!&amp;"_"&amp;AE$7,Database!#REF!,6,0),"")</f>
        <v/>
      </c>
      <c r="AE50" t="str">
        <f>IFERROR(VLOOKUP(#REF!&amp;"_"&amp;AF$7,Database!#REF!,6,0),"")</f>
        <v/>
      </c>
      <c r="AF50" t="str">
        <f>IFERROR(VLOOKUP(#REF!&amp;"_"&amp;AG$7,Database!#REF!,6,0),"")</f>
        <v/>
      </c>
      <c r="AG50" t="str">
        <f>IFERROR(VLOOKUP(#REF!&amp;"_"&amp;AH$7,Database!#REF!,6,0),"")</f>
        <v/>
      </c>
      <c r="AH50" t="str">
        <f>IFERROR(VLOOKUP(#REF!&amp;"_"&amp;AI$7,Database!#REF!,6,0),"")</f>
        <v/>
      </c>
      <c r="AI50" t="str">
        <f>IFERROR(VLOOKUP(#REF!&amp;"_"&amp;AJ$7,Database!#REF!,6,0),"")</f>
        <v/>
      </c>
      <c r="AJ50" t="str">
        <f>IFERROR(VLOOKUP(#REF!&amp;"_"&amp;AK$7,Database!#REF!,6,0),"")</f>
        <v/>
      </c>
      <c r="AK50" t="str">
        <f>IFERROR(VLOOKUP(#REF!&amp;"_"&amp;AL$7,Database!#REF!,6,0),"")</f>
        <v/>
      </c>
    </row>
    <row r="51" spans="2:37" x14ac:dyDescent="0.25">
      <c r="B51" t="str">
        <f>IF('Employee Master'!B45="","",'Employee Master'!B45)</f>
        <v/>
      </c>
      <c r="G51" t="str">
        <f>IFERROR(VLOOKUP(#REF!&amp;"_"&amp;H$7,Database!#REF!,6,0),"")</f>
        <v/>
      </c>
      <c r="H51" t="str">
        <f>IFERROR(VLOOKUP(#REF!&amp;"_"&amp;I$7,Database!#REF!,6,0),"")</f>
        <v/>
      </c>
      <c r="I51" t="str">
        <f>IFERROR(VLOOKUP(#REF!&amp;"_"&amp;J$7,Database!#REF!,6,0),"")</f>
        <v/>
      </c>
      <c r="J51" t="str">
        <f>IFERROR(VLOOKUP(#REF!&amp;"_"&amp;K$7,Database!#REF!,6,0),"")</f>
        <v/>
      </c>
      <c r="K51" t="str">
        <f>IFERROR(VLOOKUP(#REF!&amp;"_"&amp;L$7,Database!#REF!,6,0),"")</f>
        <v/>
      </c>
      <c r="L51" t="str">
        <f>IFERROR(VLOOKUP(#REF!&amp;"_"&amp;M$7,Database!#REF!,6,0),"")</f>
        <v/>
      </c>
      <c r="M51" t="str">
        <f>IFERROR(VLOOKUP(#REF!&amp;"_"&amp;N$7,Database!#REF!,6,0),"")</f>
        <v/>
      </c>
      <c r="N51" t="str">
        <f>IFERROR(VLOOKUP(#REF!&amp;"_"&amp;O$7,Database!#REF!,6,0),"")</f>
        <v/>
      </c>
      <c r="O51" t="str">
        <f>IFERROR(VLOOKUP(#REF!&amp;"_"&amp;P$7,Database!#REF!,6,0),"")</f>
        <v/>
      </c>
      <c r="P51" t="str">
        <f>IFERROR(VLOOKUP(#REF!&amp;"_"&amp;Q$7,Database!#REF!,6,0),"")</f>
        <v/>
      </c>
      <c r="Q51" t="str">
        <f>IFERROR(VLOOKUP(#REF!&amp;"_"&amp;R$7,Database!#REF!,6,0),"")</f>
        <v/>
      </c>
      <c r="R51" t="str">
        <f>IFERROR(VLOOKUP(#REF!&amp;"_"&amp;S$7,Database!#REF!,6,0),"")</f>
        <v/>
      </c>
      <c r="S51" t="str">
        <f>IFERROR(VLOOKUP(#REF!&amp;"_"&amp;T$7,Database!#REF!,6,0),"")</f>
        <v/>
      </c>
      <c r="T51" t="str">
        <f>IFERROR(VLOOKUP(#REF!&amp;"_"&amp;U$7,Database!#REF!,6,0),"")</f>
        <v/>
      </c>
      <c r="U51" t="str">
        <f>IFERROR(VLOOKUP(#REF!&amp;"_"&amp;V$7,Database!#REF!,6,0),"")</f>
        <v/>
      </c>
      <c r="V51" t="str">
        <f>IFERROR(VLOOKUP(#REF!&amp;"_"&amp;W$7,Database!#REF!,6,0),"")</f>
        <v/>
      </c>
      <c r="W51" t="str">
        <f>IFERROR(VLOOKUP(#REF!&amp;"_"&amp;X$7,Database!#REF!,6,0),"")</f>
        <v/>
      </c>
      <c r="X51" t="str">
        <f>IFERROR(VLOOKUP(#REF!&amp;"_"&amp;Y$7,Database!#REF!,6,0),"")</f>
        <v/>
      </c>
      <c r="Y51" t="str">
        <f>IFERROR(VLOOKUP(#REF!&amp;"_"&amp;Z$7,Database!#REF!,6,0),"")</f>
        <v/>
      </c>
      <c r="Z51" t="str">
        <f>IFERROR(VLOOKUP(#REF!&amp;"_"&amp;AA$7,Database!#REF!,6,0),"")</f>
        <v/>
      </c>
      <c r="AA51" t="str">
        <f>IFERROR(VLOOKUP(#REF!&amp;"_"&amp;AB$7,Database!#REF!,6,0),"")</f>
        <v/>
      </c>
      <c r="AB51" t="str">
        <f>IFERROR(VLOOKUP(#REF!&amp;"_"&amp;AC$7,Database!#REF!,6,0),"")</f>
        <v/>
      </c>
      <c r="AC51" t="str">
        <f>IFERROR(VLOOKUP(#REF!&amp;"_"&amp;AD$7,Database!#REF!,6,0),"")</f>
        <v/>
      </c>
      <c r="AD51" t="str">
        <f>IFERROR(VLOOKUP(#REF!&amp;"_"&amp;AE$7,Database!#REF!,6,0),"")</f>
        <v/>
      </c>
      <c r="AE51" t="str">
        <f>IFERROR(VLOOKUP(#REF!&amp;"_"&amp;AF$7,Database!#REF!,6,0),"")</f>
        <v/>
      </c>
      <c r="AF51" t="str">
        <f>IFERROR(VLOOKUP(#REF!&amp;"_"&amp;AG$7,Database!#REF!,6,0),"")</f>
        <v/>
      </c>
      <c r="AG51" t="str">
        <f>IFERROR(VLOOKUP(#REF!&amp;"_"&amp;AH$7,Database!#REF!,6,0),"")</f>
        <v/>
      </c>
      <c r="AH51" t="str">
        <f>IFERROR(VLOOKUP(#REF!&amp;"_"&amp;AI$7,Database!#REF!,6,0),"")</f>
        <v/>
      </c>
      <c r="AI51" t="str">
        <f>IFERROR(VLOOKUP(#REF!&amp;"_"&amp;AJ$7,Database!#REF!,6,0),"")</f>
        <v/>
      </c>
      <c r="AJ51" t="str">
        <f>IFERROR(VLOOKUP(#REF!&amp;"_"&amp;AK$7,Database!#REF!,6,0),"")</f>
        <v/>
      </c>
      <c r="AK51" t="str">
        <f>IFERROR(VLOOKUP(#REF!&amp;"_"&amp;AL$7,Database!#REF!,6,0),"")</f>
        <v/>
      </c>
    </row>
    <row r="52" spans="2:37" x14ac:dyDescent="0.25">
      <c r="B52" t="str">
        <f>IF('Employee Master'!B46="","",'Employee Master'!B46)</f>
        <v/>
      </c>
      <c r="G52" t="str">
        <f>IFERROR(VLOOKUP(#REF!&amp;"_"&amp;H$7,Database!#REF!,6,0),"")</f>
        <v/>
      </c>
      <c r="H52" t="str">
        <f>IFERROR(VLOOKUP(#REF!&amp;"_"&amp;I$7,Database!#REF!,6,0),"")</f>
        <v/>
      </c>
      <c r="I52" t="str">
        <f>IFERROR(VLOOKUP(#REF!&amp;"_"&amp;J$7,Database!#REF!,6,0),"")</f>
        <v/>
      </c>
      <c r="J52" t="str">
        <f>IFERROR(VLOOKUP(#REF!&amp;"_"&amp;K$7,Database!#REF!,6,0),"")</f>
        <v/>
      </c>
      <c r="K52" t="str">
        <f>IFERROR(VLOOKUP(#REF!&amp;"_"&amp;L$7,Database!#REF!,6,0),"")</f>
        <v/>
      </c>
      <c r="L52" t="str">
        <f>IFERROR(VLOOKUP(#REF!&amp;"_"&amp;M$7,Database!#REF!,6,0),"")</f>
        <v/>
      </c>
      <c r="M52" t="str">
        <f>IFERROR(VLOOKUP(#REF!&amp;"_"&amp;N$7,Database!#REF!,6,0),"")</f>
        <v/>
      </c>
      <c r="N52" t="str">
        <f>IFERROR(VLOOKUP(#REF!&amp;"_"&amp;O$7,Database!#REF!,6,0),"")</f>
        <v/>
      </c>
      <c r="O52" t="str">
        <f>IFERROR(VLOOKUP(#REF!&amp;"_"&amp;P$7,Database!#REF!,6,0),"")</f>
        <v/>
      </c>
      <c r="P52" t="str">
        <f>IFERROR(VLOOKUP(#REF!&amp;"_"&amp;Q$7,Database!#REF!,6,0),"")</f>
        <v/>
      </c>
      <c r="Q52" t="str">
        <f>IFERROR(VLOOKUP(#REF!&amp;"_"&amp;R$7,Database!#REF!,6,0),"")</f>
        <v/>
      </c>
      <c r="R52" t="str">
        <f>IFERROR(VLOOKUP(#REF!&amp;"_"&amp;S$7,Database!#REF!,6,0),"")</f>
        <v/>
      </c>
      <c r="S52" t="str">
        <f>IFERROR(VLOOKUP(#REF!&amp;"_"&amp;T$7,Database!#REF!,6,0),"")</f>
        <v/>
      </c>
      <c r="T52" t="str">
        <f>IFERROR(VLOOKUP(#REF!&amp;"_"&amp;U$7,Database!#REF!,6,0),"")</f>
        <v/>
      </c>
      <c r="U52" t="str">
        <f>IFERROR(VLOOKUP(#REF!&amp;"_"&amp;V$7,Database!#REF!,6,0),"")</f>
        <v/>
      </c>
      <c r="V52" t="str">
        <f>IFERROR(VLOOKUP(#REF!&amp;"_"&amp;W$7,Database!#REF!,6,0),"")</f>
        <v/>
      </c>
      <c r="W52" t="str">
        <f>IFERROR(VLOOKUP(#REF!&amp;"_"&amp;X$7,Database!#REF!,6,0),"")</f>
        <v/>
      </c>
      <c r="X52" t="str">
        <f>IFERROR(VLOOKUP(#REF!&amp;"_"&amp;Y$7,Database!#REF!,6,0),"")</f>
        <v/>
      </c>
      <c r="Y52" t="str">
        <f>IFERROR(VLOOKUP(#REF!&amp;"_"&amp;Z$7,Database!#REF!,6,0),"")</f>
        <v/>
      </c>
      <c r="Z52" t="str">
        <f>IFERROR(VLOOKUP(#REF!&amp;"_"&amp;AA$7,Database!#REF!,6,0),"")</f>
        <v/>
      </c>
      <c r="AA52" t="str">
        <f>IFERROR(VLOOKUP(#REF!&amp;"_"&amp;AB$7,Database!#REF!,6,0),"")</f>
        <v/>
      </c>
      <c r="AB52" t="str">
        <f>IFERROR(VLOOKUP(#REF!&amp;"_"&amp;AC$7,Database!#REF!,6,0),"")</f>
        <v/>
      </c>
      <c r="AC52" t="str">
        <f>IFERROR(VLOOKUP(#REF!&amp;"_"&amp;AD$7,Database!#REF!,6,0),"")</f>
        <v/>
      </c>
      <c r="AD52" t="str">
        <f>IFERROR(VLOOKUP(#REF!&amp;"_"&amp;AE$7,Database!#REF!,6,0),"")</f>
        <v/>
      </c>
      <c r="AE52" t="str">
        <f>IFERROR(VLOOKUP(#REF!&amp;"_"&amp;AF$7,Database!#REF!,6,0),"")</f>
        <v/>
      </c>
      <c r="AF52" t="str">
        <f>IFERROR(VLOOKUP(#REF!&amp;"_"&amp;AG$7,Database!#REF!,6,0),"")</f>
        <v/>
      </c>
      <c r="AG52" t="str">
        <f>IFERROR(VLOOKUP(#REF!&amp;"_"&amp;AH$7,Database!#REF!,6,0),"")</f>
        <v/>
      </c>
      <c r="AH52" t="str">
        <f>IFERROR(VLOOKUP(#REF!&amp;"_"&amp;AI$7,Database!#REF!,6,0),"")</f>
        <v/>
      </c>
      <c r="AI52" t="str">
        <f>IFERROR(VLOOKUP(#REF!&amp;"_"&amp;AJ$7,Database!#REF!,6,0),"")</f>
        <v/>
      </c>
      <c r="AJ52" t="str">
        <f>IFERROR(VLOOKUP(#REF!&amp;"_"&amp;AK$7,Database!#REF!,6,0),"")</f>
        <v/>
      </c>
      <c r="AK52" t="str">
        <f>IFERROR(VLOOKUP(#REF!&amp;"_"&amp;AL$7,Database!#REF!,6,0),"")</f>
        <v/>
      </c>
    </row>
    <row r="53" spans="2:37" x14ac:dyDescent="0.25">
      <c r="B53" t="str">
        <f>IF('Employee Master'!B47="","",'Employee Master'!B47)</f>
        <v/>
      </c>
      <c r="G53" t="str">
        <f>IFERROR(VLOOKUP(#REF!&amp;"_"&amp;H$7,Database!#REF!,6,0),"")</f>
        <v/>
      </c>
      <c r="H53" t="str">
        <f>IFERROR(VLOOKUP(#REF!&amp;"_"&amp;I$7,Database!#REF!,6,0),"")</f>
        <v/>
      </c>
      <c r="I53" t="str">
        <f>IFERROR(VLOOKUP(#REF!&amp;"_"&amp;J$7,Database!#REF!,6,0),"")</f>
        <v/>
      </c>
      <c r="J53" t="str">
        <f>IFERROR(VLOOKUP(#REF!&amp;"_"&amp;K$7,Database!#REF!,6,0),"")</f>
        <v/>
      </c>
      <c r="K53" t="str">
        <f>IFERROR(VLOOKUP(#REF!&amp;"_"&amp;L$7,Database!#REF!,6,0),"")</f>
        <v/>
      </c>
      <c r="L53" t="str">
        <f>IFERROR(VLOOKUP(#REF!&amp;"_"&amp;M$7,Database!#REF!,6,0),"")</f>
        <v/>
      </c>
      <c r="M53" t="str">
        <f>IFERROR(VLOOKUP(#REF!&amp;"_"&amp;N$7,Database!#REF!,6,0),"")</f>
        <v/>
      </c>
      <c r="N53" t="str">
        <f>IFERROR(VLOOKUP(#REF!&amp;"_"&amp;O$7,Database!#REF!,6,0),"")</f>
        <v/>
      </c>
      <c r="O53" t="str">
        <f>IFERROR(VLOOKUP(#REF!&amp;"_"&amp;P$7,Database!#REF!,6,0),"")</f>
        <v/>
      </c>
      <c r="P53" t="str">
        <f>IFERROR(VLOOKUP(#REF!&amp;"_"&amp;Q$7,Database!#REF!,6,0),"")</f>
        <v/>
      </c>
      <c r="Q53" t="str">
        <f>IFERROR(VLOOKUP(#REF!&amp;"_"&amp;R$7,Database!#REF!,6,0),"")</f>
        <v/>
      </c>
      <c r="R53" t="str">
        <f>IFERROR(VLOOKUP(#REF!&amp;"_"&amp;S$7,Database!#REF!,6,0),"")</f>
        <v/>
      </c>
      <c r="S53" t="str">
        <f>IFERROR(VLOOKUP(#REF!&amp;"_"&amp;T$7,Database!#REF!,6,0),"")</f>
        <v/>
      </c>
      <c r="T53" t="str">
        <f>IFERROR(VLOOKUP(#REF!&amp;"_"&amp;U$7,Database!#REF!,6,0),"")</f>
        <v/>
      </c>
      <c r="U53" t="str">
        <f>IFERROR(VLOOKUP(#REF!&amp;"_"&amp;V$7,Database!#REF!,6,0),"")</f>
        <v/>
      </c>
      <c r="V53" t="str">
        <f>IFERROR(VLOOKUP(#REF!&amp;"_"&amp;W$7,Database!#REF!,6,0),"")</f>
        <v/>
      </c>
      <c r="W53" t="str">
        <f>IFERROR(VLOOKUP(#REF!&amp;"_"&amp;X$7,Database!#REF!,6,0),"")</f>
        <v/>
      </c>
      <c r="X53" t="str">
        <f>IFERROR(VLOOKUP(#REF!&amp;"_"&amp;Y$7,Database!#REF!,6,0),"")</f>
        <v/>
      </c>
      <c r="Y53" t="str">
        <f>IFERROR(VLOOKUP(#REF!&amp;"_"&amp;Z$7,Database!#REF!,6,0),"")</f>
        <v/>
      </c>
      <c r="Z53" t="str">
        <f>IFERROR(VLOOKUP(#REF!&amp;"_"&amp;AA$7,Database!#REF!,6,0),"")</f>
        <v/>
      </c>
      <c r="AA53" t="str">
        <f>IFERROR(VLOOKUP(#REF!&amp;"_"&amp;AB$7,Database!#REF!,6,0),"")</f>
        <v/>
      </c>
      <c r="AB53" t="str">
        <f>IFERROR(VLOOKUP(#REF!&amp;"_"&amp;AC$7,Database!#REF!,6,0),"")</f>
        <v/>
      </c>
      <c r="AC53" t="str">
        <f>IFERROR(VLOOKUP(#REF!&amp;"_"&amp;AD$7,Database!#REF!,6,0),"")</f>
        <v/>
      </c>
      <c r="AD53" t="str">
        <f>IFERROR(VLOOKUP(#REF!&amp;"_"&amp;AE$7,Database!#REF!,6,0),"")</f>
        <v/>
      </c>
      <c r="AE53" t="str">
        <f>IFERROR(VLOOKUP(#REF!&amp;"_"&amp;AF$7,Database!#REF!,6,0),"")</f>
        <v/>
      </c>
      <c r="AF53" t="str">
        <f>IFERROR(VLOOKUP(#REF!&amp;"_"&amp;AG$7,Database!#REF!,6,0),"")</f>
        <v/>
      </c>
      <c r="AG53" t="str">
        <f>IFERROR(VLOOKUP(#REF!&amp;"_"&amp;AH$7,Database!#REF!,6,0),"")</f>
        <v/>
      </c>
      <c r="AH53" t="str">
        <f>IFERROR(VLOOKUP(#REF!&amp;"_"&amp;AI$7,Database!#REF!,6,0),"")</f>
        <v/>
      </c>
      <c r="AI53" t="str">
        <f>IFERROR(VLOOKUP(#REF!&amp;"_"&amp;AJ$7,Database!#REF!,6,0),"")</f>
        <v/>
      </c>
      <c r="AJ53" t="str">
        <f>IFERROR(VLOOKUP(#REF!&amp;"_"&amp;AK$7,Database!#REF!,6,0),"")</f>
        <v/>
      </c>
      <c r="AK53" t="str">
        <f>IFERROR(VLOOKUP(#REF!&amp;"_"&amp;AL$7,Database!#REF!,6,0),"")</f>
        <v/>
      </c>
    </row>
    <row r="54" spans="2:37" x14ac:dyDescent="0.25">
      <c r="B54" t="str">
        <f>IF('Employee Master'!B48="","",'Employee Master'!B48)</f>
        <v/>
      </c>
      <c r="G54" t="str">
        <f>IFERROR(VLOOKUP(#REF!&amp;"_"&amp;H$7,Database!#REF!,6,0),"")</f>
        <v/>
      </c>
      <c r="H54" t="str">
        <f>IFERROR(VLOOKUP(#REF!&amp;"_"&amp;I$7,Database!#REF!,6,0),"")</f>
        <v/>
      </c>
      <c r="I54" t="str">
        <f>IFERROR(VLOOKUP(#REF!&amp;"_"&amp;J$7,Database!#REF!,6,0),"")</f>
        <v/>
      </c>
      <c r="J54" t="str">
        <f>IFERROR(VLOOKUP(#REF!&amp;"_"&amp;K$7,Database!#REF!,6,0),"")</f>
        <v/>
      </c>
      <c r="K54" t="str">
        <f>IFERROR(VLOOKUP(#REF!&amp;"_"&amp;L$7,Database!#REF!,6,0),"")</f>
        <v/>
      </c>
      <c r="L54" t="str">
        <f>IFERROR(VLOOKUP(#REF!&amp;"_"&amp;M$7,Database!#REF!,6,0),"")</f>
        <v/>
      </c>
      <c r="M54" t="str">
        <f>IFERROR(VLOOKUP(#REF!&amp;"_"&amp;N$7,Database!#REF!,6,0),"")</f>
        <v/>
      </c>
      <c r="N54" t="str">
        <f>IFERROR(VLOOKUP(#REF!&amp;"_"&amp;O$7,Database!#REF!,6,0),"")</f>
        <v/>
      </c>
      <c r="O54" t="str">
        <f>IFERROR(VLOOKUP(#REF!&amp;"_"&amp;P$7,Database!#REF!,6,0),"")</f>
        <v/>
      </c>
      <c r="P54" t="str">
        <f>IFERROR(VLOOKUP(#REF!&amp;"_"&amp;Q$7,Database!#REF!,6,0),"")</f>
        <v/>
      </c>
      <c r="Q54" t="str">
        <f>IFERROR(VLOOKUP(#REF!&amp;"_"&amp;R$7,Database!#REF!,6,0),"")</f>
        <v/>
      </c>
      <c r="R54" t="str">
        <f>IFERROR(VLOOKUP(#REF!&amp;"_"&amp;S$7,Database!#REF!,6,0),"")</f>
        <v/>
      </c>
      <c r="S54" t="str">
        <f>IFERROR(VLOOKUP(#REF!&amp;"_"&amp;T$7,Database!#REF!,6,0),"")</f>
        <v/>
      </c>
      <c r="T54" t="str">
        <f>IFERROR(VLOOKUP(#REF!&amp;"_"&amp;U$7,Database!#REF!,6,0),"")</f>
        <v/>
      </c>
      <c r="U54" t="str">
        <f>IFERROR(VLOOKUP(#REF!&amp;"_"&amp;V$7,Database!#REF!,6,0),"")</f>
        <v/>
      </c>
      <c r="V54" t="str">
        <f>IFERROR(VLOOKUP(#REF!&amp;"_"&amp;W$7,Database!#REF!,6,0),"")</f>
        <v/>
      </c>
      <c r="W54" t="str">
        <f>IFERROR(VLOOKUP(#REF!&amp;"_"&amp;X$7,Database!#REF!,6,0),"")</f>
        <v/>
      </c>
      <c r="X54" t="str">
        <f>IFERROR(VLOOKUP(#REF!&amp;"_"&amp;Y$7,Database!#REF!,6,0),"")</f>
        <v/>
      </c>
      <c r="Y54" t="str">
        <f>IFERROR(VLOOKUP(#REF!&amp;"_"&amp;Z$7,Database!#REF!,6,0),"")</f>
        <v/>
      </c>
      <c r="Z54" t="str">
        <f>IFERROR(VLOOKUP(#REF!&amp;"_"&amp;AA$7,Database!#REF!,6,0),"")</f>
        <v/>
      </c>
      <c r="AA54" t="str">
        <f>IFERROR(VLOOKUP(#REF!&amp;"_"&amp;AB$7,Database!#REF!,6,0),"")</f>
        <v/>
      </c>
      <c r="AB54" t="str">
        <f>IFERROR(VLOOKUP(#REF!&amp;"_"&amp;AC$7,Database!#REF!,6,0),"")</f>
        <v/>
      </c>
      <c r="AC54" t="str">
        <f>IFERROR(VLOOKUP(#REF!&amp;"_"&amp;AD$7,Database!#REF!,6,0),"")</f>
        <v/>
      </c>
      <c r="AD54" t="str">
        <f>IFERROR(VLOOKUP(#REF!&amp;"_"&amp;AE$7,Database!#REF!,6,0),"")</f>
        <v/>
      </c>
      <c r="AE54" t="str">
        <f>IFERROR(VLOOKUP(#REF!&amp;"_"&amp;AF$7,Database!#REF!,6,0),"")</f>
        <v/>
      </c>
      <c r="AF54" t="str">
        <f>IFERROR(VLOOKUP(#REF!&amp;"_"&amp;AG$7,Database!#REF!,6,0),"")</f>
        <v/>
      </c>
      <c r="AG54" t="str">
        <f>IFERROR(VLOOKUP(#REF!&amp;"_"&amp;AH$7,Database!#REF!,6,0),"")</f>
        <v/>
      </c>
      <c r="AH54" t="str">
        <f>IFERROR(VLOOKUP(#REF!&amp;"_"&amp;AI$7,Database!#REF!,6,0),"")</f>
        <v/>
      </c>
      <c r="AI54" t="str">
        <f>IFERROR(VLOOKUP(#REF!&amp;"_"&amp;AJ$7,Database!#REF!,6,0),"")</f>
        <v/>
      </c>
      <c r="AJ54" t="str">
        <f>IFERROR(VLOOKUP(#REF!&amp;"_"&amp;AK$7,Database!#REF!,6,0),"")</f>
        <v/>
      </c>
      <c r="AK54" t="str">
        <f>IFERROR(VLOOKUP(#REF!&amp;"_"&amp;AL$7,Database!#REF!,6,0),"")</f>
        <v/>
      </c>
    </row>
    <row r="55" spans="2:37" x14ac:dyDescent="0.25">
      <c r="B55" t="str">
        <f>IF('Employee Master'!B49="","",'Employee Master'!B49)</f>
        <v/>
      </c>
      <c r="G55" t="str">
        <f>IFERROR(VLOOKUP(#REF!&amp;"_"&amp;H$7,Database!#REF!,6,0),"")</f>
        <v/>
      </c>
      <c r="H55" t="str">
        <f>IFERROR(VLOOKUP(#REF!&amp;"_"&amp;I$7,Database!#REF!,6,0),"")</f>
        <v/>
      </c>
      <c r="I55" t="str">
        <f>IFERROR(VLOOKUP(#REF!&amp;"_"&amp;J$7,Database!#REF!,6,0),"")</f>
        <v/>
      </c>
      <c r="J55" t="str">
        <f>IFERROR(VLOOKUP(#REF!&amp;"_"&amp;K$7,Database!#REF!,6,0),"")</f>
        <v/>
      </c>
      <c r="K55" t="str">
        <f>IFERROR(VLOOKUP(#REF!&amp;"_"&amp;L$7,Database!#REF!,6,0),"")</f>
        <v/>
      </c>
      <c r="L55" t="str">
        <f>IFERROR(VLOOKUP(#REF!&amp;"_"&amp;M$7,Database!#REF!,6,0),"")</f>
        <v/>
      </c>
      <c r="M55" t="str">
        <f>IFERROR(VLOOKUP(#REF!&amp;"_"&amp;N$7,Database!#REF!,6,0),"")</f>
        <v/>
      </c>
      <c r="N55" t="str">
        <f>IFERROR(VLOOKUP(#REF!&amp;"_"&amp;O$7,Database!#REF!,6,0),"")</f>
        <v/>
      </c>
      <c r="O55" t="str">
        <f>IFERROR(VLOOKUP(#REF!&amp;"_"&amp;P$7,Database!#REF!,6,0),"")</f>
        <v/>
      </c>
      <c r="P55" t="str">
        <f>IFERROR(VLOOKUP(#REF!&amp;"_"&amp;Q$7,Database!#REF!,6,0),"")</f>
        <v/>
      </c>
      <c r="Q55" t="str">
        <f>IFERROR(VLOOKUP(#REF!&amp;"_"&amp;R$7,Database!#REF!,6,0),"")</f>
        <v/>
      </c>
      <c r="R55" t="str">
        <f>IFERROR(VLOOKUP(#REF!&amp;"_"&amp;S$7,Database!#REF!,6,0),"")</f>
        <v/>
      </c>
      <c r="S55" t="str">
        <f>IFERROR(VLOOKUP(#REF!&amp;"_"&amp;T$7,Database!#REF!,6,0),"")</f>
        <v/>
      </c>
      <c r="T55" t="str">
        <f>IFERROR(VLOOKUP(#REF!&amp;"_"&amp;U$7,Database!#REF!,6,0),"")</f>
        <v/>
      </c>
      <c r="U55" t="str">
        <f>IFERROR(VLOOKUP(#REF!&amp;"_"&amp;V$7,Database!#REF!,6,0),"")</f>
        <v/>
      </c>
      <c r="V55" t="str">
        <f>IFERROR(VLOOKUP(#REF!&amp;"_"&amp;W$7,Database!#REF!,6,0),"")</f>
        <v/>
      </c>
      <c r="W55" t="str">
        <f>IFERROR(VLOOKUP(#REF!&amp;"_"&amp;X$7,Database!#REF!,6,0),"")</f>
        <v/>
      </c>
      <c r="X55" t="str">
        <f>IFERROR(VLOOKUP(#REF!&amp;"_"&amp;Y$7,Database!#REF!,6,0),"")</f>
        <v/>
      </c>
      <c r="Y55" t="str">
        <f>IFERROR(VLOOKUP(#REF!&amp;"_"&amp;Z$7,Database!#REF!,6,0),"")</f>
        <v/>
      </c>
      <c r="Z55" t="str">
        <f>IFERROR(VLOOKUP(#REF!&amp;"_"&amp;AA$7,Database!#REF!,6,0),"")</f>
        <v/>
      </c>
      <c r="AA55" t="str">
        <f>IFERROR(VLOOKUP(#REF!&amp;"_"&amp;AB$7,Database!#REF!,6,0),"")</f>
        <v/>
      </c>
      <c r="AB55" t="str">
        <f>IFERROR(VLOOKUP(#REF!&amp;"_"&amp;AC$7,Database!#REF!,6,0),"")</f>
        <v/>
      </c>
      <c r="AC55" t="str">
        <f>IFERROR(VLOOKUP(#REF!&amp;"_"&amp;AD$7,Database!#REF!,6,0),"")</f>
        <v/>
      </c>
      <c r="AD55" t="str">
        <f>IFERROR(VLOOKUP(#REF!&amp;"_"&amp;AE$7,Database!#REF!,6,0),"")</f>
        <v/>
      </c>
      <c r="AE55" t="str">
        <f>IFERROR(VLOOKUP(#REF!&amp;"_"&amp;AF$7,Database!#REF!,6,0),"")</f>
        <v/>
      </c>
      <c r="AF55" t="str">
        <f>IFERROR(VLOOKUP(#REF!&amp;"_"&amp;AG$7,Database!#REF!,6,0),"")</f>
        <v/>
      </c>
      <c r="AG55" t="str">
        <f>IFERROR(VLOOKUP(#REF!&amp;"_"&amp;AH$7,Database!#REF!,6,0),"")</f>
        <v/>
      </c>
      <c r="AH55" t="str">
        <f>IFERROR(VLOOKUP(#REF!&amp;"_"&amp;AI$7,Database!#REF!,6,0),"")</f>
        <v/>
      </c>
      <c r="AI55" t="str">
        <f>IFERROR(VLOOKUP(#REF!&amp;"_"&amp;AJ$7,Database!#REF!,6,0),"")</f>
        <v/>
      </c>
      <c r="AJ55" t="str">
        <f>IFERROR(VLOOKUP(#REF!&amp;"_"&amp;AK$7,Database!#REF!,6,0),"")</f>
        <v/>
      </c>
      <c r="AK55" t="str">
        <f>IFERROR(VLOOKUP(#REF!&amp;"_"&amp;AL$7,Database!#REF!,6,0),"")</f>
        <v/>
      </c>
    </row>
    <row r="56" spans="2:37" x14ac:dyDescent="0.25">
      <c r="B56" t="str">
        <f>IF('Employee Master'!B50="","",'Employee Master'!B50)</f>
        <v/>
      </c>
      <c r="G56" t="str">
        <f>IFERROR(VLOOKUP(#REF!&amp;"_"&amp;H$7,Database!#REF!,6,0),"")</f>
        <v/>
      </c>
      <c r="H56" t="str">
        <f>IFERROR(VLOOKUP(#REF!&amp;"_"&amp;I$7,Database!#REF!,6,0),"")</f>
        <v/>
      </c>
      <c r="I56" t="str">
        <f>IFERROR(VLOOKUP(#REF!&amp;"_"&amp;J$7,Database!#REF!,6,0),"")</f>
        <v/>
      </c>
      <c r="J56" t="str">
        <f>IFERROR(VLOOKUP(#REF!&amp;"_"&amp;K$7,Database!#REF!,6,0),"")</f>
        <v/>
      </c>
      <c r="K56" t="str">
        <f>IFERROR(VLOOKUP(#REF!&amp;"_"&amp;L$7,Database!#REF!,6,0),"")</f>
        <v/>
      </c>
      <c r="L56" t="str">
        <f>IFERROR(VLOOKUP(#REF!&amp;"_"&amp;M$7,Database!#REF!,6,0),"")</f>
        <v/>
      </c>
      <c r="M56" t="str">
        <f>IFERROR(VLOOKUP(#REF!&amp;"_"&amp;N$7,Database!#REF!,6,0),"")</f>
        <v/>
      </c>
      <c r="N56" t="str">
        <f>IFERROR(VLOOKUP(#REF!&amp;"_"&amp;O$7,Database!#REF!,6,0),"")</f>
        <v/>
      </c>
      <c r="O56" t="str">
        <f>IFERROR(VLOOKUP(#REF!&amp;"_"&amp;P$7,Database!#REF!,6,0),"")</f>
        <v/>
      </c>
      <c r="P56" t="str">
        <f>IFERROR(VLOOKUP(#REF!&amp;"_"&amp;Q$7,Database!#REF!,6,0),"")</f>
        <v/>
      </c>
      <c r="Q56" t="str">
        <f>IFERROR(VLOOKUP(#REF!&amp;"_"&amp;R$7,Database!#REF!,6,0),"")</f>
        <v/>
      </c>
      <c r="R56" t="str">
        <f>IFERROR(VLOOKUP(#REF!&amp;"_"&amp;S$7,Database!#REF!,6,0),"")</f>
        <v/>
      </c>
      <c r="S56" t="str">
        <f>IFERROR(VLOOKUP(#REF!&amp;"_"&amp;T$7,Database!#REF!,6,0),"")</f>
        <v/>
      </c>
      <c r="T56" t="str">
        <f>IFERROR(VLOOKUP(#REF!&amp;"_"&amp;U$7,Database!#REF!,6,0),"")</f>
        <v/>
      </c>
      <c r="U56" t="str">
        <f>IFERROR(VLOOKUP(#REF!&amp;"_"&amp;V$7,Database!#REF!,6,0),"")</f>
        <v/>
      </c>
      <c r="V56" t="str">
        <f>IFERROR(VLOOKUP(#REF!&amp;"_"&amp;W$7,Database!#REF!,6,0),"")</f>
        <v/>
      </c>
      <c r="W56" t="str">
        <f>IFERROR(VLOOKUP(#REF!&amp;"_"&amp;X$7,Database!#REF!,6,0),"")</f>
        <v/>
      </c>
      <c r="X56" t="str">
        <f>IFERROR(VLOOKUP(#REF!&amp;"_"&amp;Y$7,Database!#REF!,6,0),"")</f>
        <v/>
      </c>
      <c r="Y56" t="str">
        <f>IFERROR(VLOOKUP(#REF!&amp;"_"&amp;Z$7,Database!#REF!,6,0),"")</f>
        <v/>
      </c>
      <c r="Z56" t="str">
        <f>IFERROR(VLOOKUP(#REF!&amp;"_"&amp;AA$7,Database!#REF!,6,0),"")</f>
        <v/>
      </c>
      <c r="AA56" t="str">
        <f>IFERROR(VLOOKUP(#REF!&amp;"_"&amp;AB$7,Database!#REF!,6,0),"")</f>
        <v/>
      </c>
      <c r="AB56" t="str">
        <f>IFERROR(VLOOKUP(#REF!&amp;"_"&amp;AC$7,Database!#REF!,6,0),"")</f>
        <v/>
      </c>
      <c r="AC56" t="str">
        <f>IFERROR(VLOOKUP(#REF!&amp;"_"&amp;AD$7,Database!#REF!,6,0),"")</f>
        <v/>
      </c>
      <c r="AD56" t="str">
        <f>IFERROR(VLOOKUP(#REF!&amp;"_"&amp;AE$7,Database!#REF!,6,0),"")</f>
        <v/>
      </c>
      <c r="AE56" t="str">
        <f>IFERROR(VLOOKUP(#REF!&amp;"_"&amp;AF$7,Database!#REF!,6,0),"")</f>
        <v/>
      </c>
      <c r="AF56" t="str">
        <f>IFERROR(VLOOKUP(#REF!&amp;"_"&amp;AG$7,Database!#REF!,6,0),"")</f>
        <v/>
      </c>
      <c r="AG56" t="str">
        <f>IFERROR(VLOOKUP(#REF!&amp;"_"&amp;AH$7,Database!#REF!,6,0),"")</f>
        <v/>
      </c>
      <c r="AH56" t="str">
        <f>IFERROR(VLOOKUP(#REF!&amp;"_"&amp;AI$7,Database!#REF!,6,0),"")</f>
        <v/>
      </c>
      <c r="AI56" t="str">
        <f>IFERROR(VLOOKUP(#REF!&amp;"_"&amp;AJ$7,Database!#REF!,6,0),"")</f>
        <v/>
      </c>
      <c r="AJ56" t="str">
        <f>IFERROR(VLOOKUP(#REF!&amp;"_"&amp;AK$7,Database!#REF!,6,0),"")</f>
        <v/>
      </c>
      <c r="AK56" t="str">
        <f>IFERROR(VLOOKUP(#REF!&amp;"_"&amp;AL$7,Database!#REF!,6,0),"")</f>
        <v/>
      </c>
    </row>
    <row r="57" spans="2:37" x14ac:dyDescent="0.25">
      <c r="B57" t="str">
        <f>IF('Employee Master'!B51="","",'Employee Master'!B51)</f>
        <v/>
      </c>
      <c r="G57" t="str">
        <f>IFERROR(VLOOKUP(#REF!&amp;"_"&amp;H$7,Database!#REF!,6,0),"")</f>
        <v/>
      </c>
      <c r="H57" t="str">
        <f>IFERROR(VLOOKUP(#REF!&amp;"_"&amp;I$7,Database!#REF!,6,0),"")</f>
        <v/>
      </c>
      <c r="I57" t="str">
        <f>IFERROR(VLOOKUP(#REF!&amp;"_"&amp;J$7,Database!#REF!,6,0),"")</f>
        <v/>
      </c>
      <c r="J57" t="str">
        <f>IFERROR(VLOOKUP(#REF!&amp;"_"&amp;K$7,Database!#REF!,6,0),"")</f>
        <v/>
      </c>
      <c r="K57" t="str">
        <f>IFERROR(VLOOKUP(#REF!&amp;"_"&amp;L$7,Database!#REF!,6,0),"")</f>
        <v/>
      </c>
      <c r="L57" t="str">
        <f>IFERROR(VLOOKUP(#REF!&amp;"_"&amp;M$7,Database!#REF!,6,0),"")</f>
        <v/>
      </c>
      <c r="M57" t="str">
        <f>IFERROR(VLOOKUP(#REF!&amp;"_"&amp;N$7,Database!#REF!,6,0),"")</f>
        <v/>
      </c>
      <c r="N57" t="str">
        <f>IFERROR(VLOOKUP(#REF!&amp;"_"&amp;O$7,Database!#REF!,6,0),"")</f>
        <v/>
      </c>
      <c r="O57" t="str">
        <f>IFERROR(VLOOKUP(#REF!&amp;"_"&amp;P$7,Database!#REF!,6,0),"")</f>
        <v/>
      </c>
      <c r="P57" t="str">
        <f>IFERROR(VLOOKUP(#REF!&amp;"_"&amp;Q$7,Database!#REF!,6,0),"")</f>
        <v/>
      </c>
      <c r="Q57" t="str">
        <f>IFERROR(VLOOKUP(#REF!&amp;"_"&amp;R$7,Database!#REF!,6,0),"")</f>
        <v/>
      </c>
      <c r="R57" t="str">
        <f>IFERROR(VLOOKUP(#REF!&amp;"_"&amp;S$7,Database!#REF!,6,0),"")</f>
        <v/>
      </c>
      <c r="S57" t="str">
        <f>IFERROR(VLOOKUP(#REF!&amp;"_"&amp;T$7,Database!#REF!,6,0),"")</f>
        <v/>
      </c>
      <c r="T57" t="str">
        <f>IFERROR(VLOOKUP(#REF!&amp;"_"&amp;U$7,Database!#REF!,6,0),"")</f>
        <v/>
      </c>
      <c r="U57" t="str">
        <f>IFERROR(VLOOKUP(#REF!&amp;"_"&amp;V$7,Database!#REF!,6,0),"")</f>
        <v/>
      </c>
      <c r="V57" t="str">
        <f>IFERROR(VLOOKUP(#REF!&amp;"_"&amp;W$7,Database!#REF!,6,0),"")</f>
        <v/>
      </c>
      <c r="W57" t="str">
        <f>IFERROR(VLOOKUP(#REF!&amp;"_"&amp;X$7,Database!#REF!,6,0),"")</f>
        <v/>
      </c>
      <c r="X57" t="str">
        <f>IFERROR(VLOOKUP(#REF!&amp;"_"&amp;Y$7,Database!#REF!,6,0),"")</f>
        <v/>
      </c>
      <c r="Y57" t="str">
        <f>IFERROR(VLOOKUP(#REF!&amp;"_"&amp;Z$7,Database!#REF!,6,0),"")</f>
        <v/>
      </c>
      <c r="Z57" t="str">
        <f>IFERROR(VLOOKUP(#REF!&amp;"_"&amp;AA$7,Database!#REF!,6,0),"")</f>
        <v/>
      </c>
      <c r="AA57" t="str">
        <f>IFERROR(VLOOKUP(#REF!&amp;"_"&amp;AB$7,Database!#REF!,6,0),"")</f>
        <v/>
      </c>
      <c r="AB57" t="str">
        <f>IFERROR(VLOOKUP(#REF!&amp;"_"&amp;AC$7,Database!#REF!,6,0),"")</f>
        <v/>
      </c>
      <c r="AC57" t="str">
        <f>IFERROR(VLOOKUP(#REF!&amp;"_"&amp;AD$7,Database!#REF!,6,0),"")</f>
        <v/>
      </c>
      <c r="AD57" t="str">
        <f>IFERROR(VLOOKUP(#REF!&amp;"_"&amp;AE$7,Database!#REF!,6,0),"")</f>
        <v/>
      </c>
      <c r="AE57" t="str">
        <f>IFERROR(VLOOKUP(#REF!&amp;"_"&amp;AF$7,Database!#REF!,6,0),"")</f>
        <v/>
      </c>
      <c r="AF57" t="str">
        <f>IFERROR(VLOOKUP(#REF!&amp;"_"&amp;AG$7,Database!#REF!,6,0),"")</f>
        <v/>
      </c>
      <c r="AG57" t="str">
        <f>IFERROR(VLOOKUP(#REF!&amp;"_"&amp;AH$7,Database!#REF!,6,0),"")</f>
        <v/>
      </c>
      <c r="AH57" t="str">
        <f>IFERROR(VLOOKUP(#REF!&amp;"_"&amp;AI$7,Database!#REF!,6,0),"")</f>
        <v/>
      </c>
      <c r="AI57" t="str">
        <f>IFERROR(VLOOKUP(#REF!&amp;"_"&amp;AJ$7,Database!#REF!,6,0),"")</f>
        <v/>
      </c>
      <c r="AJ57" t="str">
        <f>IFERROR(VLOOKUP(#REF!&amp;"_"&amp;AK$7,Database!#REF!,6,0),"")</f>
        <v/>
      </c>
      <c r="AK57" t="str">
        <f>IFERROR(VLOOKUP(#REF!&amp;"_"&amp;AL$7,Database!#REF!,6,0),"")</f>
        <v/>
      </c>
    </row>
    <row r="58" spans="2:37" x14ac:dyDescent="0.25">
      <c r="B58" t="str">
        <f>IF('Employee Master'!B52="","",'Employee Master'!B52)</f>
        <v/>
      </c>
      <c r="G58" t="str">
        <f>IFERROR(VLOOKUP(#REF!&amp;"_"&amp;H$7,Database!#REF!,6,0),"")</f>
        <v/>
      </c>
      <c r="H58" t="str">
        <f>IFERROR(VLOOKUP(#REF!&amp;"_"&amp;I$7,Database!#REF!,6,0),"")</f>
        <v/>
      </c>
      <c r="I58" t="str">
        <f>IFERROR(VLOOKUP(#REF!&amp;"_"&amp;J$7,Database!#REF!,6,0),"")</f>
        <v/>
      </c>
      <c r="J58" t="str">
        <f>IFERROR(VLOOKUP(#REF!&amp;"_"&amp;K$7,Database!#REF!,6,0),"")</f>
        <v/>
      </c>
      <c r="K58" t="str">
        <f>IFERROR(VLOOKUP(#REF!&amp;"_"&amp;L$7,Database!#REF!,6,0),"")</f>
        <v/>
      </c>
      <c r="L58" t="str">
        <f>IFERROR(VLOOKUP(#REF!&amp;"_"&amp;M$7,Database!#REF!,6,0),"")</f>
        <v/>
      </c>
      <c r="M58" t="str">
        <f>IFERROR(VLOOKUP(#REF!&amp;"_"&amp;N$7,Database!#REF!,6,0),"")</f>
        <v/>
      </c>
      <c r="N58" t="str">
        <f>IFERROR(VLOOKUP(#REF!&amp;"_"&amp;O$7,Database!#REF!,6,0),"")</f>
        <v/>
      </c>
      <c r="O58" t="str">
        <f>IFERROR(VLOOKUP(#REF!&amp;"_"&amp;P$7,Database!#REF!,6,0),"")</f>
        <v/>
      </c>
      <c r="P58" t="str">
        <f>IFERROR(VLOOKUP(#REF!&amp;"_"&amp;Q$7,Database!#REF!,6,0),"")</f>
        <v/>
      </c>
      <c r="Q58" t="str">
        <f>IFERROR(VLOOKUP(#REF!&amp;"_"&amp;R$7,Database!#REF!,6,0),"")</f>
        <v/>
      </c>
      <c r="R58" t="str">
        <f>IFERROR(VLOOKUP(#REF!&amp;"_"&amp;S$7,Database!#REF!,6,0),"")</f>
        <v/>
      </c>
      <c r="S58" t="str">
        <f>IFERROR(VLOOKUP(#REF!&amp;"_"&amp;T$7,Database!#REF!,6,0),"")</f>
        <v/>
      </c>
      <c r="T58" t="str">
        <f>IFERROR(VLOOKUP(#REF!&amp;"_"&amp;U$7,Database!#REF!,6,0),"")</f>
        <v/>
      </c>
      <c r="U58" t="str">
        <f>IFERROR(VLOOKUP(#REF!&amp;"_"&amp;V$7,Database!#REF!,6,0),"")</f>
        <v/>
      </c>
      <c r="V58" t="str">
        <f>IFERROR(VLOOKUP(#REF!&amp;"_"&amp;W$7,Database!#REF!,6,0),"")</f>
        <v/>
      </c>
      <c r="W58" t="str">
        <f>IFERROR(VLOOKUP(#REF!&amp;"_"&amp;X$7,Database!#REF!,6,0),"")</f>
        <v/>
      </c>
      <c r="X58" t="str">
        <f>IFERROR(VLOOKUP(#REF!&amp;"_"&amp;Y$7,Database!#REF!,6,0),"")</f>
        <v/>
      </c>
      <c r="Y58" t="str">
        <f>IFERROR(VLOOKUP(#REF!&amp;"_"&amp;Z$7,Database!#REF!,6,0),"")</f>
        <v/>
      </c>
      <c r="Z58" t="str">
        <f>IFERROR(VLOOKUP(#REF!&amp;"_"&amp;AA$7,Database!#REF!,6,0),"")</f>
        <v/>
      </c>
      <c r="AA58" t="str">
        <f>IFERROR(VLOOKUP(#REF!&amp;"_"&amp;AB$7,Database!#REF!,6,0),"")</f>
        <v/>
      </c>
      <c r="AB58" t="str">
        <f>IFERROR(VLOOKUP(#REF!&amp;"_"&amp;AC$7,Database!#REF!,6,0),"")</f>
        <v/>
      </c>
      <c r="AC58" t="str">
        <f>IFERROR(VLOOKUP(#REF!&amp;"_"&amp;AD$7,Database!#REF!,6,0),"")</f>
        <v/>
      </c>
      <c r="AD58" t="str">
        <f>IFERROR(VLOOKUP(#REF!&amp;"_"&amp;AE$7,Database!#REF!,6,0),"")</f>
        <v/>
      </c>
      <c r="AE58" t="str">
        <f>IFERROR(VLOOKUP(#REF!&amp;"_"&amp;AF$7,Database!#REF!,6,0),"")</f>
        <v/>
      </c>
      <c r="AF58" t="str">
        <f>IFERROR(VLOOKUP(#REF!&amp;"_"&amp;AG$7,Database!#REF!,6,0),"")</f>
        <v/>
      </c>
      <c r="AG58" t="str">
        <f>IFERROR(VLOOKUP(#REF!&amp;"_"&amp;AH$7,Database!#REF!,6,0),"")</f>
        <v/>
      </c>
      <c r="AH58" t="str">
        <f>IFERROR(VLOOKUP(#REF!&amp;"_"&amp;AI$7,Database!#REF!,6,0),"")</f>
        <v/>
      </c>
      <c r="AI58" t="str">
        <f>IFERROR(VLOOKUP(#REF!&amp;"_"&amp;AJ$7,Database!#REF!,6,0),"")</f>
        <v/>
      </c>
      <c r="AJ58" t="str">
        <f>IFERROR(VLOOKUP(#REF!&amp;"_"&amp;AK$7,Database!#REF!,6,0),"")</f>
        <v/>
      </c>
      <c r="AK58" t="str">
        <f>IFERROR(VLOOKUP(#REF!&amp;"_"&amp;AL$7,Database!#REF!,6,0),"")</f>
        <v/>
      </c>
    </row>
    <row r="59" spans="2:37" x14ac:dyDescent="0.25">
      <c r="B59" t="str">
        <f>IF('Employee Master'!B53="","",'Employee Master'!B53)</f>
        <v/>
      </c>
      <c r="G59" t="str">
        <f>IFERROR(VLOOKUP(#REF!&amp;"_"&amp;H$7,Database!#REF!,6,0),"")</f>
        <v/>
      </c>
      <c r="H59" t="str">
        <f>IFERROR(VLOOKUP(#REF!&amp;"_"&amp;I$7,Database!#REF!,6,0),"")</f>
        <v/>
      </c>
      <c r="I59" t="str">
        <f>IFERROR(VLOOKUP(#REF!&amp;"_"&amp;J$7,Database!#REF!,6,0),"")</f>
        <v/>
      </c>
      <c r="J59" t="str">
        <f>IFERROR(VLOOKUP(#REF!&amp;"_"&amp;K$7,Database!#REF!,6,0),"")</f>
        <v/>
      </c>
      <c r="K59" t="str">
        <f>IFERROR(VLOOKUP(#REF!&amp;"_"&amp;L$7,Database!#REF!,6,0),"")</f>
        <v/>
      </c>
      <c r="L59" t="str">
        <f>IFERROR(VLOOKUP(#REF!&amp;"_"&amp;M$7,Database!#REF!,6,0),"")</f>
        <v/>
      </c>
      <c r="M59" t="str">
        <f>IFERROR(VLOOKUP(#REF!&amp;"_"&amp;N$7,Database!#REF!,6,0),"")</f>
        <v/>
      </c>
      <c r="N59" t="str">
        <f>IFERROR(VLOOKUP(#REF!&amp;"_"&amp;O$7,Database!#REF!,6,0),"")</f>
        <v/>
      </c>
      <c r="O59" t="str">
        <f>IFERROR(VLOOKUP(#REF!&amp;"_"&amp;P$7,Database!#REF!,6,0),"")</f>
        <v/>
      </c>
      <c r="P59" t="str">
        <f>IFERROR(VLOOKUP(#REF!&amp;"_"&amp;Q$7,Database!#REF!,6,0),"")</f>
        <v/>
      </c>
      <c r="Q59" t="str">
        <f>IFERROR(VLOOKUP(#REF!&amp;"_"&amp;R$7,Database!#REF!,6,0),"")</f>
        <v/>
      </c>
      <c r="R59" t="str">
        <f>IFERROR(VLOOKUP(#REF!&amp;"_"&amp;S$7,Database!#REF!,6,0),"")</f>
        <v/>
      </c>
      <c r="S59" t="str">
        <f>IFERROR(VLOOKUP(#REF!&amp;"_"&amp;T$7,Database!#REF!,6,0),"")</f>
        <v/>
      </c>
      <c r="T59" t="str">
        <f>IFERROR(VLOOKUP(#REF!&amp;"_"&amp;U$7,Database!#REF!,6,0),"")</f>
        <v/>
      </c>
      <c r="U59" t="str">
        <f>IFERROR(VLOOKUP(#REF!&amp;"_"&amp;V$7,Database!#REF!,6,0),"")</f>
        <v/>
      </c>
      <c r="V59" t="str">
        <f>IFERROR(VLOOKUP(#REF!&amp;"_"&amp;W$7,Database!#REF!,6,0),"")</f>
        <v/>
      </c>
      <c r="W59" t="str">
        <f>IFERROR(VLOOKUP(#REF!&amp;"_"&amp;X$7,Database!#REF!,6,0),"")</f>
        <v/>
      </c>
      <c r="X59" t="str">
        <f>IFERROR(VLOOKUP(#REF!&amp;"_"&amp;Y$7,Database!#REF!,6,0),"")</f>
        <v/>
      </c>
      <c r="Y59" t="str">
        <f>IFERROR(VLOOKUP(#REF!&amp;"_"&amp;Z$7,Database!#REF!,6,0),"")</f>
        <v/>
      </c>
      <c r="Z59" t="str">
        <f>IFERROR(VLOOKUP(#REF!&amp;"_"&amp;AA$7,Database!#REF!,6,0),"")</f>
        <v/>
      </c>
      <c r="AA59" t="str">
        <f>IFERROR(VLOOKUP(#REF!&amp;"_"&amp;AB$7,Database!#REF!,6,0),"")</f>
        <v/>
      </c>
      <c r="AB59" t="str">
        <f>IFERROR(VLOOKUP(#REF!&amp;"_"&amp;AC$7,Database!#REF!,6,0),"")</f>
        <v/>
      </c>
      <c r="AC59" t="str">
        <f>IFERROR(VLOOKUP(#REF!&amp;"_"&amp;AD$7,Database!#REF!,6,0),"")</f>
        <v/>
      </c>
      <c r="AD59" t="str">
        <f>IFERROR(VLOOKUP(#REF!&amp;"_"&amp;AE$7,Database!#REF!,6,0),"")</f>
        <v/>
      </c>
      <c r="AE59" t="str">
        <f>IFERROR(VLOOKUP(#REF!&amp;"_"&amp;AF$7,Database!#REF!,6,0),"")</f>
        <v/>
      </c>
      <c r="AF59" t="str">
        <f>IFERROR(VLOOKUP(#REF!&amp;"_"&amp;AG$7,Database!#REF!,6,0),"")</f>
        <v/>
      </c>
      <c r="AG59" t="str">
        <f>IFERROR(VLOOKUP(#REF!&amp;"_"&amp;AH$7,Database!#REF!,6,0),"")</f>
        <v/>
      </c>
      <c r="AH59" t="str">
        <f>IFERROR(VLOOKUP(#REF!&amp;"_"&amp;AI$7,Database!#REF!,6,0),"")</f>
        <v/>
      </c>
      <c r="AI59" t="str">
        <f>IFERROR(VLOOKUP(#REF!&amp;"_"&amp;AJ$7,Database!#REF!,6,0),"")</f>
        <v/>
      </c>
      <c r="AJ59" t="str">
        <f>IFERROR(VLOOKUP(#REF!&amp;"_"&amp;AK$7,Database!#REF!,6,0),"")</f>
        <v/>
      </c>
      <c r="AK59" t="str">
        <f>IFERROR(VLOOKUP(#REF!&amp;"_"&amp;AL$7,Database!#REF!,6,0),"")</f>
        <v/>
      </c>
    </row>
    <row r="60" spans="2:37" x14ac:dyDescent="0.25">
      <c r="B60" t="str">
        <f>IF('Employee Master'!B54="","",'Employee Master'!B54)</f>
        <v/>
      </c>
      <c r="G60" t="str">
        <f>IFERROR(VLOOKUP(#REF!&amp;"_"&amp;H$7,Database!#REF!,6,0),"")</f>
        <v/>
      </c>
      <c r="H60" t="str">
        <f>IFERROR(VLOOKUP(#REF!&amp;"_"&amp;I$7,Database!#REF!,6,0),"")</f>
        <v/>
      </c>
      <c r="I60" t="str">
        <f>IFERROR(VLOOKUP(#REF!&amp;"_"&amp;J$7,Database!#REF!,6,0),"")</f>
        <v/>
      </c>
      <c r="J60" t="str">
        <f>IFERROR(VLOOKUP(#REF!&amp;"_"&amp;K$7,Database!#REF!,6,0),"")</f>
        <v/>
      </c>
      <c r="K60" t="str">
        <f>IFERROR(VLOOKUP(#REF!&amp;"_"&amp;L$7,Database!#REF!,6,0),"")</f>
        <v/>
      </c>
      <c r="L60" t="str">
        <f>IFERROR(VLOOKUP(#REF!&amp;"_"&amp;M$7,Database!#REF!,6,0),"")</f>
        <v/>
      </c>
      <c r="M60" t="str">
        <f>IFERROR(VLOOKUP(#REF!&amp;"_"&amp;N$7,Database!#REF!,6,0),"")</f>
        <v/>
      </c>
      <c r="N60" t="str">
        <f>IFERROR(VLOOKUP(#REF!&amp;"_"&amp;O$7,Database!#REF!,6,0),"")</f>
        <v/>
      </c>
      <c r="O60" t="str">
        <f>IFERROR(VLOOKUP(#REF!&amp;"_"&amp;P$7,Database!#REF!,6,0),"")</f>
        <v/>
      </c>
      <c r="P60" t="str">
        <f>IFERROR(VLOOKUP(#REF!&amp;"_"&amp;Q$7,Database!#REF!,6,0),"")</f>
        <v/>
      </c>
      <c r="Q60" t="str">
        <f>IFERROR(VLOOKUP(#REF!&amp;"_"&amp;R$7,Database!#REF!,6,0),"")</f>
        <v/>
      </c>
      <c r="R60" t="str">
        <f>IFERROR(VLOOKUP(#REF!&amp;"_"&amp;S$7,Database!#REF!,6,0),"")</f>
        <v/>
      </c>
      <c r="S60" t="str">
        <f>IFERROR(VLOOKUP(#REF!&amp;"_"&amp;T$7,Database!#REF!,6,0),"")</f>
        <v/>
      </c>
      <c r="T60" t="str">
        <f>IFERROR(VLOOKUP(#REF!&amp;"_"&amp;U$7,Database!#REF!,6,0),"")</f>
        <v/>
      </c>
      <c r="U60" t="str">
        <f>IFERROR(VLOOKUP(#REF!&amp;"_"&amp;V$7,Database!#REF!,6,0),"")</f>
        <v/>
      </c>
      <c r="V60" t="str">
        <f>IFERROR(VLOOKUP(#REF!&amp;"_"&amp;W$7,Database!#REF!,6,0),"")</f>
        <v/>
      </c>
      <c r="W60" t="str">
        <f>IFERROR(VLOOKUP(#REF!&amp;"_"&amp;X$7,Database!#REF!,6,0),"")</f>
        <v/>
      </c>
      <c r="X60" t="str">
        <f>IFERROR(VLOOKUP(#REF!&amp;"_"&amp;Y$7,Database!#REF!,6,0),"")</f>
        <v/>
      </c>
      <c r="Y60" t="str">
        <f>IFERROR(VLOOKUP(#REF!&amp;"_"&amp;Z$7,Database!#REF!,6,0),"")</f>
        <v/>
      </c>
      <c r="Z60" t="str">
        <f>IFERROR(VLOOKUP(#REF!&amp;"_"&amp;AA$7,Database!#REF!,6,0),"")</f>
        <v/>
      </c>
      <c r="AA60" t="str">
        <f>IFERROR(VLOOKUP(#REF!&amp;"_"&amp;AB$7,Database!#REF!,6,0),"")</f>
        <v/>
      </c>
      <c r="AB60" t="str">
        <f>IFERROR(VLOOKUP(#REF!&amp;"_"&amp;AC$7,Database!#REF!,6,0),"")</f>
        <v/>
      </c>
      <c r="AC60" t="str">
        <f>IFERROR(VLOOKUP(#REF!&amp;"_"&amp;AD$7,Database!#REF!,6,0),"")</f>
        <v/>
      </c>
      <c r="AD60" t="str">
        <f>IFERROR(VLOOKUP(#REF!&amp;"_"&amp;AE$7,Database!#REF!,6,0),"")</f>
        <v/>
      </c>
      <c r="AE60" t="str">
        <f>IFERROR(VLOOKUP(#REF!&amp;"_"&amp;AF$7,Database!#REF!,6,0),"")</f>
        <v/>
      </c>
      <c r="AF60" t="str">
        <f>IFERROR(VLOOKUP(#REF!&amp;"_"&amp;AG$7,Database!#REF!,6,0),"")</f>
        <v/>
      </c>
      <c r="AG60" t="str">
        <f>IFERROR(VLOOKUP(#REF!&amp;"_"&amp;AH$7,Database!#REF!,6,0),"")</f>
        <v/>
      </c>
      <c r="AH60" t="str">
        <f>IFERROR(VLOOKUP(#REF!&amp;"_"&amp;AI$7,Database!#REF!,6,0),"")</f>
        <v/>
      </c>
      <c r="AI60" t="str">
        <f>IFERROR(VLOOKUP(#REF!&amp;"_"&amp;AJ$7,Database!#REF!,6,0),"")</f>
        <v/>
      </c>
      <c r="AJ60" t="str">
        <f>IFERROR(VLOOKUP(#REF!&amp;"_"&amp;AK$7,Database!#REF!,6,0),"")</f>
        <v/>
      </c>
      <c r="AK60" t="str">
        <f>IFERROR(VLOOKUP(#REF!&amp;"_"&amp;AL$7,Database!#REF!,6,0),"")</f>
        <v/>
      </c>
    </row>
    <row r="61" spans="2:37" x14ac:dyDescent="0.25">
      <c r="B61" t="str">
        <f>IF('Employee Master'!B55="","",'Employee Master'!B55)</f>
        <v/>
      </c>
      <c r="G61" t="str">
        <f>IFERROR(VLOOKUP(#REF!&amp;"_"&amp;H$7,Database!#REF!,6,0),"")</f>
        <v/>
      </c>
      <c r="H61" t="str">
        <f>IFERROR(VLOOKUP(#REF!&amp;"_"&amp;I$7,Database!#REF!,6,0),"")</f>
        <v/>
      </c>
      <c r="I61" t="str">
        <f>IFERROR(VLOOKUP(#REF!&amp;"_"&amp;J$7,Database!#REF!,6,0),"")</f>
        <v/>
      </c>
      <c r="J61" t="str">
        <f>IFERROR(VLOOKUP(#REF!&amp;"_"&amp;K$7,Database!#REF!,6,0),"")</f>
        <v/>
      </c>
      <c r="K61" t="str">
        <f>IFERROR(VLOOKUP(#REF!&amp;"_"&amp;L$7,Database!#REF!,6,0),"")</f>
        <v/>
      </c>
      <c r="L61" t="str">
        <f>IFERROR(VLOOKUP(#REF!&amp;"_"&amp;M$7,Database!#REF!,6,0),"")</f>
        <v/>
      </c>
      <c r="M61" t="str">
        <f>IFERROR(VLOOKUP(#REF!&amp;"_"&amp;N$7,Database!#REF!,6,0),"")</f>
        <v/>
      </c>
      <c r="N61" t="str">
        <f>IFERROR(VLOOKUP(#REF!&amp;"_"&amp;O$7,Database!#REF!,6,0),"")</f>
        <v/>
      </c>
      <c r="O61" t="str">
        <f>IFERROR(VLOOKUP(#REF!&amp;"_"&amp;P$7,Database!#REF!,6,0),"")</f>
        <v/>
      </c>
      <c r="P61" t="str">
        <f>IFERROR(VLOOKUP(#REF!&amp;"_"&amp;Q$7,Database!#REF!,6,0),"")</f>
        <v/>
      </c>
      <c r="Q61" t="str">
        <f>IFERROR(VLOOKUP(#REF!&amp;"_"&amp;R$7,Database!#REF!,6,0),"")</f>
        <v/>
      </c>
      <c r="R61" t="str">
        <f>IFERROR(VLOOKUP(#REF!&amp;"_"&amp;S$7,Database!#REF!,6,0),"")</f>
        <v/>
      </c>
      <c r="S61" t="str">
        <f>IFERROR(VLOOKUP(#REF!&amp;"_"&amp;T$7,Database!#REF!,6,0),"")</f>
        <v/>
      </c>
      <c r="T61" t="str">
        <f>IFERROR(VLOOKUP(#REF!&amp;"_"&amp;U$7,Database!#REF!,6,0),"")</f>
        <v/>
      </c>
      <c r="U61" t="str">
        <f>IFERROR(VLOOKUP(#REF!&amp;"_"&amp;V$7,Database!#REF!,6,0),"")</f>
        <v/>
      </c>
      <c r="V61" t="str">
        <f>IFERROR(VLOOKUP(#REF!&amp;"_"&amp;W$7,Database!#REF!,6,0),"")</f>
        <v/>
      </c>
      <c r="W61" t="str">
        <f>IFERROR(VLOOKUP(#REF!&amp;"_"&amp;X$7,Database!#REF!,6,0),"")</f>
        <v/>
      </c>
      <c r="X61" t="str">
        <f>IFERROR(VLOOKUP(#REF!&amp;"_"&amp;Y$7,Database!#REF!,6,0),"")</f>
        <v/>
      </c>
      <c r="Y61" t="str">
        <f>IFERROR(VLOOKUP(#REF!&amp;"_"&amp;Z$7,Database!#REF!,6,0),"")</f>
        <v/>
      </c>
      <c r="Z61" t="str">
        <f>IFERROR(VLOOKUP(#REF!&amp;"_"&amp;AA$7,Database!#REF!,6,0),"")</f>
        <v/>
      </c>
      <c r="AA61" t="str">
        <f>IFERROR(VLOOKUP(#REF!&amp;"_"&amp;AB$7,Database!#REF!,6,0),"")</f>
        <v/>
      </c>
      <c r="AB61" t="str">
        <f>IFERROR(VLOOKUP(#REF!&amp;"_"&amp;AC$7,Database!#REF!,6,0),"")</f>
        <v/>
      </c>
      <c r="AC61" t="str">
        <f>IFERROR(VLOOKUP(#REF!&amp;"_"&amp;AD$7,Database!#REF!,6,0),"")</f>
        <v/>
      </c>
      <c r="AD61" t="str">
        <f>IFERROR(VLOOKUP(#REF!&amp;"_"&amp;AE$7,Database!#REF!,6,0),"")</f>
        <v/>
      </c>
      <c r="AE61" t="str">
        <f>IFERROR(VLOOKUP(#REF!&amp;"_"&amp;AF$7,Database!#REF!,6,0),"")</f>
        <v/>
      </c>
      <c r="AF61" t="str">
        <f>IFERROR(VLOOKUP(#REF!&amp;"_"&amp;AG$7,Database!#REF!,6,0),"")</f>
        <v/>
      </c>
      <c r="AG61" t="str">
        <f>IFERROR(VLOOKUP(#REF!&amp;"_"&amp;AH$7,Database!#REF!,6,0),"")</f>
        <v/>
      </c>
      <c r="AH61" t="str">
        <f>IFERROR(VLOOKUP(#REF!&amp;"_"&amp;AI$7,Database!#REF!,6,0),"")</f>
        <v/>
      </c>
      <c r="AI61" t="str">
        <f>IFERROR(VLOOKUP(#REF!&amp;"_"&amp;AJ$7,Database!#REF!,6,0),"")</f>
        <v/>
      </c>
      <c r="AJ61" t="str">
        <f>IFERROR(VLOOKUP(#REF!&amp;"_"&amp;AK$7,Database!#REF!,6,0),"")</f>
        <v/>
      </c>
      <c r="AK61" t="str">
        <f>IFERROR(VLOOKUP(#REF!&amp;"_"&amp;AL$7,Database!#REF!,6,0),"")</f>
        <v/>
      </c>
    </row>
    <row r="62" spans="2:37" x14ac:dyDescent="0.25">
      <c r="B62" t="str">
        <f>IF('Employee Master'!B56="","",'Employee Master'!B56)</f>
        <v/>
      </c>
      <c r="G62" t="str">
        <f>IFERROR(VLOOKUP(#REF!&amp;"_"&amp;H$7,Database!#REF!,6,0),"")</f>
        <v/>
      </c>
      <c r="H62" t="str">
        <f>IFERROR(VLOOKUP(#REF!&amp;"_"&amp;I$7,Database!#REF!,6,0),"")</f>
        <v/>
      </c>
      <c r="I62" t="str">
        <f>IFERROR(VLOOKUP(#REF!&amp;"_"&amp;J$7,Database!#REF!,6,0),"")</f>
        <v/>
      </c>
      <c r="J62" t="str">
        <f>IFERROR(VLOOKUP(#REF!&amp;"_"&amp;K$7,Database!#REF!,6,0),"")</f>
        <v/>
      </c>
      <c r="K62" t="str">
        <f>IFERROR(VLOOKUP(#REF!&amp;"_"&amp;L$7,Database!#REF!,6,0),"")</f>
        <v/>
      </c>
      <c r="L62" t="str">
        <f>IFERROR(VLOOKUP(#REF!&amp;"_"&amp;M$7,Database!#REF!,6,0),"")</f>
        <v/>
      </c>
      <c r="M62" t="str">
        <f>IFERROR(VLOOKUP(#REF!&amp;"_"&amp;N$7,Database!#REF!,6,0),"")</f>
        <v/>
      </c>
      <c r="N62" t="str">
        <f>IFERROR(VLOOKUP(#REF!&amp;"_"&amp;O$7,Database!#REF!,6,0),"")</f>
        <v/>
      </c>
      <c r="O62" t="str">
        <f>IFERROR(VLOOKUP(#REF!&amp;"_"&amp;P$7,Database!#REF!,6,0),"")</f>
        <v/>
      </c>
      <c r="P62" t="str">
        <f>IFERROR(VLOOKUP(#REF!&amp;"_"&amp;Q$7,Database!#REF!,6,0),"")</f>
        <v/>
      </c>
      <c r="Q62" t="str">
        <f>IFERROR(VLOOKUP(#REF!&amp;"_"&amp;R$7,Database!#REF!,6,0),"")</f>
        <v/>
      </c>
      <c r="R62" t="str">
        <f>IFERROR(VLOOKUP(#REF!&amp;"_"&amp;S$7,Database!#REF!,6,0),"")</f>
        <v/>
      </c>
      <c r="S62" t="str">
        <f>IFERROR(VLOOKUP(#REF!&amp;"_"&amp;T$7,Database!#REF!,6,0),"")</f>
        <v/>
      </c>
      <c r="T62" t="str">
        <f>IFERROR(VLOOKUP(#REF!&amp;"_"&amp;U$7,Database!#REF!,6,0),"")</f>
        <v/>
      </c>
      <c r="U62" t="str">
        <f>IFERROR(VLOOKUP(#REF!&amp;"_"&amp;V$7,Database!#REF!,6,0),"")</f>
        <v/>
      </c>
      <c r="V62" t="str">
        <f>IFERROR(VLOOKUP(#REF!&amp;"_"&amp;W$7,Database!#REF!,6,0),"")</f>
        <v/>
      </c>
      <c r="W62" t="str">
        <f>IFERROR(VLOOKUP(#REF!&amp;"_"&amp;X$7,Database!#REF!,6,0),"")</f>
        <v/>
      </c>
      <c r="X62" t="str">
        <f>IFERROR(VLOOKUP(#REF!&amp;"_"&amp;Y$7,Database!#REF!,6,0),"")</f>
        <v/>
      </c>
      <c r="Y62" t="str">
        <f>IFERROR(VLOOKUP(#REF!&amp;"_"&amp;Z$7,Database!#REF!,6,0),"")</f>
        <v/>
      </c>
      <c r="Z62" t="str">
        <f>IFERROR(VLOOKUP(#REF!&amp;"_"&amp;AA$7,Database!#REF!,6,0),"")</f>
        <v/>
      </c>
      <c r="AA62" t="str">
        <f>IFERROR(VLOOKUP(#REF!&amp;"_"&amp;AB$7,Database!#REF!,6,0),"")</f>
        <v/>
      </c>
      <c r="AB62" t="str">
        <f>IFERROR(VLOOKUP(#REF!&amp;"_"&amp;AC$7,Database!#REF!,6,0),"")</f>
        <v/>
      </c>
      <c r="AC62" t="str">
        <f>IFERROR(VLOOKUP(#REF!&amp;"_"&amp;AD$7,Database!#REF!,6,0),"")</f>
        <v/>
      </c>
      <c r="AD62" t="str">
        <f>IFERROR(VLOOKUP(#REF!&amp;"_"&amp;AE$7,Database!#REF!,6,0),"")</f>
        <v/>
      </c>
      <c r="AE62" t="str">
        <f>IFERROR(VLOOKUP(#REF!&amp;"_"&amp;AF$7,Database!#REF!,6,0),"")</f>
        <v/>
      </c>
      <c r="AF62" t="str">
        <f>IFERROR(VLOOKUP(#REF!&amp;"_"&amp;AG$7,Database!#REF!,6,0),"")</f>
        <v/>
      </c>
      <c r="AG62" t="str">
        <f>IFERROR(VLOOKUP(#REF!&amp;"_"&amp;AH$7,Database!#REF!,6,0),"")</f>
        <v/>
      </c>
      <c r="AH62" t="str">
        <f>IFERROR(VLOOKUP(#REF!&amp;"_"&amp;AI$7,Database!#REF!,6,0),"")</f>
        <v/>
      </c>
      <c r="AI62" t="str">
        <f>IFERROR(VLOOKUP(#REF!&amp;"_"&amp;AJ$7,Database!#REF!,6,0),"")</f>
        <v/>
      </c>
      <c r="AJ62" t="str">
        <f>IFERROR(VLOOKUP(#REF!&amp;"_"&amp;AK$7,Database!#REF!,6,0),"")</f>
        <v/>
      </c>
      <c r="AK62" t="str">
        <f>IFERROR(VLOOKUP(#REF!&amp;"_"&amp;AL$7,Database!#REF!,6,0),"")</f>
        <v/>
      </c>
    </row>
    <row r="63" spans="2:37" x14ac:dyDescent="0.25">
      <c r="B63" t="str">
        <f>IF('Employee Master'!B57="","",'Employee Master'!B57)</f>
        <v/>
      </c>
      <c r="G63" t="str">
        <f>IFERROR(VLOOKUP(#REF!&amp;"_"&amp;H$7,Database!#REF!,6,0),"")</f>
        <v/>
      </c>
      <c r="H63" t="str">
        <f>IFERROR(VLOOKUP(#REF!&amp;"_"&amp;I$7,Database!#REF!,6,0),"")</f>
        <v/>
      </c>
      <c r="I63" t="str">
        <f>IFERROR(VLOOKUP(#REF!&amp;"_"&amp;J$7,Database!#REF!,6,0),"")</f>
        <v/>
      </c>
      <c r="J63" t="str">
        <f>IFERROR(VLOOKUP(#REF!&amp;"_"&amp;K$7,Database!#REF!,6,0),"")</f>
        <v/>
      </c>
      <c r="K63" t="str">
        <f>IFERROR(VLOOKUP(#REF!&amp;"_"&amp;L$7,Database!#REF!,6,0),"")</f>
        <v/>
      </c>
      <c r="L63" t="str">
        <f>IFERROR(VLOOKUP(#REF!&amp;"_"&amp;M$7,Database!#REF!,6,0),"")</f>
        <v/>
      </c>
      <c r="M63" t="str">
        <f>IFERROR(VLOOKUP(#REF!&amp;"_"&amp;N$7,Database!#REF!,6,0),"")</f>
        <v/>
      </c>
      <c r="N63" t="str">
        <f>IFERROR(VLOOKUP(#REF!&amp;"_"&amp;O$7,Database!#REF!,6,0),"")</f>
        <v/>
      </c>
      <c r="O63" t="str">
        <f>IFERROR(VLOOKUP(#REF!&amp;"_"&amp;P$7,Database!#REF!,6,0),"")</f>
        <v/>
      </c>
      <c r="P63" t="str">
        <f>IFERROR(VLOOKUP(#REF!&amp;"_"&amp;Q$7,Database!#REF!,6,0),"")</f>
        <v/>
      </c>
      <c r="Q63" t="str">
        <f>IFERROR(VLOOKUP(#REF!&amp;"_"&amp;R$7,Database!#REF!,6,0),"")</f>
        <v/>
      </c>
      <c r="R63" t="str">
        <f>IFERROR(VLOOKUP(#REF!&amp;"_"&amp;S$7,Database!#REF!,6,0),"")</f>
        <v/>
      </c>
      <c r="S63" t="str">
        <f>IFERROR(VLOOKUP(#REF!&amp;"_"&amp;T$7,Database!#REF!,6,0),"")</f>
        <v/>
      </c>
      <c r="T63" t="str">
        <f>IFERROR(VLOOKUP(#REF!&amp;"_"&amp;U$7,Database!#REF!,6,0),"")</f>
        <v/>
      </c>
      <c r="U63" t="str">
        <f>IFERROR(VLOOKUP(#REF!&amp;"_"&amp;V$7,Database!#REF!,6,0),"")</f>
        <v/>
      </c>
      <c r="V63" t="str">
        <f>IFERROR(VLOOKUP(#REF!&amp;"_"&amp;W$7,Database!#REF!,6,0),"")</f>
        <v/>
      </c>
      <c r="W63" t="str">
        <f>IFERROR(VLOOKUP(#REF!&amp;"_"&amp;X$7,Database!#REF!,6,0),"")</f>
        <v/>
      </c>
      <c r="X63" t="str">
        <f>IFERROR(VLOOKUP(#REF!&amp;"_"&amp;Y$7,Database!#REF!,6,0),"")</f>
        <v/>
      </c>
      <c r="Y63" t="str">
        <f>IFERROR(VLOOKUP(#REF!&amp;"_"&amp;Z$7,Database!#REF!,6,0),"")</f>
        <v/>
      </c>
      <c r="Z63" t="str">
        <f>IFERROR(VLOOKUP(#REF!&amp;"_"&amp;AA$7,Database!#REF!,6,0),"")</f>
        <v/>
      </c>
      <c r="AA63" t="str">
        <f>IFERROR(VLOOKUP(#REF!&amp;"_"&amp;AB$7,Database!#REF!,6,0),"")</f>
        <v/>
      </c>
      <c r="AB63" t="str">
        <f>IFERROR(VLOOKUP(#REF!&amp;"_"&amp;AC$7,Database!#REF!,6,0),"")</f>
        <v/>
      </c>
      <c r="AC63" t="str">
        <f>IFERROR(VLOOKUP(#REF!&amp;"_"&amp;AD$7,Database!#REF!,6,0),"")</f>
        <v/>
      </c>
      <c r="AD63" t="str">
        <f>IFERROR(VLOOKUP(#REF!&amp;"_"&amp;AE$7,Database!#REF!,6,0),"")</f>
        <v/>
      </c>
      <c r="AE63" t="str">
        <f>IFERROR(VLOOKUP(#REF!&amp;"_"&amp;AF$7,Database!#REF!,6,0),"")</f>
        <v/>
      </c>
      <c r="AF63" t="str">
        <f>IFERROR(VLOOKUP(#REF!&amp;"_"&amp;AG$7,Database!#REF!,6,0),"")</f>
        <v/>
      </c>
      <c r="AG63" t="str">
        <f>IFERROR(VLOOKUP(#REF!&amp;"_"&amp;AH$7,Database!#REF!,6,0),"")</f>
        <v/>
      </c>
      <c r="AH63" t="str">
        <f>IFERROR(VLOOKUP(#REF!&amp;"_"&amp;AI$7,Database!#REF!,6,0),"")</f>
        <v/>
      </c>
      <c r="AI63" t="str">
        <f>IFERROR(VLOOKUP(#REF!&amp;"_"&amp;AJ$7,Database!#REF!,6,0),"")</f>
        <v/>
      </c>
      <c r="AJ63" t="str">
        <f>IFERROR(VLOOKUP(#REF!&amp;"_"&amp;AK$7,Database!#REF!,6,0),"")</f>
        <v/>
      </c>
      <c r="AK63" t="str">
        <f>IFERROR(VLOOKUP(#REF!&amp;"_"&amp;AL$7,Database!#REF!,6,0),"")</f>
        <v/>
      </c>
    </row>
    <row r="64" spans="2:37" x14ac:dyDescent="0.25">
      <c r="B64" t="str">
        <f>IF('Employee Master'!B58="","",'Employee Master'!B58)</f>
        <v/>
      </c>
      <c r="G64" t="str">
        <f>IFERROR(VLOOKUP(#REF!&amp;"_"&amp;H$7,Database!#REF!,6,0),"")</f>
        <v/>
      </c>
      <c r="H64" t="str">
        <f>IFERROR(VLOOKUP(#REF!&amp;"_"&amp;I$7,Database!#REF!,6,0),"")</f>
        <v/>
      </c>
      <c r="I64" t="str">
        <f>IFERROR(VLOOKUP(#REF!&amp;"_"&amp;J$7,Database!#REF!,6,0),"")</f>
        <v/>
      </c>
      <c r="J64" t="str">
        <f>IFERROR(VLOOKUP(#REF!&amp;"_"&amp;K$7,Database!#REF!,6,0),"")</f>
        <v/>
      </c>
      <c r="K64" t="str">
        <f>IFERROR(VLOOKUP(#REF!&amp;"_"&amp;L$7,Database!#REF!,6,0),"")</f>
        <v/>
      </c>
      <c r="L64" t="str">
        <f>IFERROR(VLOOKUP(#REF!&amp;"_"&amp;M$7,Database!#REF!,6,0),"")</f>
        <v/>
      </c>
      <c r="M64" t="str">
        <f>IFERROR(VLOOKUP(#REF!&amp;"_"&amp;N$7,Database!#REF!,6,0),"")</f>
        <v/>
      </c>
      <c r="N64" t="str">
        <f>IFERROR(VLOOKUP(#REF!&amp;"_"&amp;O$7,Database!#REF!,6,0),"")</f>
        <v/>
      </c>
      <c r="O64" t="str">
        <f>IFERROR(VLOOKUP(#REF!&amp;"_"&amp;P$7,Database!#REF!,6,0),"")</f>
        <v/>
      </c>
      <c r="P64" t="str">
        <f>IFERROR(VLOOKUP(#REF!&amp;"_"&amp;Q$7,Database!#REF!,6,0),"")</f>
        <v/>
      </c>
      <c r="Q64" t="str">
        <f>IFERROR(VLOOKUP(#REF!&amp;"_"&amp;R$7,Database!#REF!,6,0),"")</f>
        <v/>
      </c>
      <c r="R64" t="str">
        <f>IFERROR(VLOOKUP(#REF!&amp;"_"&amp;S$7,Database!#REF!,6,0),"")</f>
        <v/>
      </c>
      <c r="S64" t="str">
        <f>IFERROR(VLOOKUP(#REF!&amp;"_"&amp;T$7,Database!#REF!,6,0),"")</f>
        <v/>
      </c>
      <c r="T64" t="str">
        <f>IFERROR(VLOOKUP(#REF!&amp;"_"&amp;U$7,Database!#REF!,6,0),"")</f>
        <v/>
      </c>
      <c r="U64" t="str">
        <f>IFERROR(VLOOKUP(#REF!&amp;"_"&amp;V$7,Database!#REF!,6,0),"")</f>
        <v/>
      </c>
      <c r="V64" t="str">
        <f>IFERROR(VLOOKUP(#REF!&amp;"_"&amp;W$7,Database!#REF!,6,0),"")</f>
        <v/>
      </c>
      <c r="W64" t="str">
        <f>IFERROR(VLOOKUP(#REF!&amp;"_"&amp;X$7,Database!#REF!,6,0),"")</f>
        <v/>
      </c>
      <c r="X64" t="str">
        <f>IFERROR(VLOOKUP(#REF!&amp;"_"&amp;Y$7,Database!#REF!,6,0),"")</f>
        <v/>
      </c>
      <c r="Y64" t="str">
        <f>IFERROR(VLOOKUP(#REF!&amp;"_"&amp;Z$7,Database!#REF!,6,0),"")</f>
        <v/>
      </c>
      <c r="Z64" t="str">
        <f>IFERROR(VLOOKUP(#REF!&amp;"_"&amp;AA$7,Database!#REF!,6,0),"")</f>
        <v/>
      </c>
      <c r="AA64" t="str">
        <f>IFERROR(VLOOKUP(#REF!&amp;"_"&amp;AB$7,Database!#REF!,6,0),"")</f>
        <v/>
      </c>
      <c r="AB64" t="str">
        <f>IFERROR(VLOOKUP(#REF!&amp;"_"&amp;AC$7,Database!#REF!,6,0),"")</f>
        <v/>
      </c>
      <c r="AC64" t="str">
        <f>IFERROR(VLOOKUP(#REF!&amp;"_"&amp;AD$7,Database!#REF!,6,0),"")</f>
        <v/>
      </c>
      <c r="AD64" t="str">
        <f>IFERROR(VLOOKUP(#REF!&amp;"_"&amp;AE$7,Database!#REF!,6,0),"")</f>
        <v/>
      </c>
      <c r="AE64" t="str">
        <f>IFERROR(VLOOKUP(#REF!&amp;"_"&amp;AF$7,Database!#REF!,6,0),"")</f>
        <v/>
      </c>
      <c r="AF64" t="str">
        <f>IFERROR(VLOOKUP(#REF!&amp;"_"&amp;AG$7,Database!#REF!,6,0),"")</f>
        <v/>
      </c>
      <c r="AG64" t="str">
        <f>IFERROR(VLOOKUP(#REF!&amp;"_"&amp;AH$7,Database!#REF!,6,0),"")</f>
        <v/>
      </c>
      <c r="AH64" t="str">
        <f>IFERROR(VLOOKUP(#REF!&amp;"_"&amp;AI$7,Database!#REF!,6,0),"")</f>
        <v/>
      </c>
      <c r="AI64" t="str">
        <f>IFERROR(VLOOKUP(#REF!&amp;"_"&amp;AJ$7,Database!#REF!,6,0),"")</f>
        <v/>
      </c>
      <c r="AJ64" t="str">
        <f>IFERROR(VLOOKUP(#REF!&amp;"_"&amp;AK$7,Database!#REF!,6,0),"")</f>
        <v/>
      </c>
      <c r="AK64" t="str">
        <f>IFERROR(VLOOKUP(#REF!&amp;"_"&amp;AL$7,Database!#REF!,6,0),"")</f>
        <v/>
      </c>
    </row>
    <row r="65" spans="2:37" x14ac:dyDescent="0.25">
      <c r="B65" t="str">
        <f>IF('Employee Master'!B59="","",'Employee Master'!B59)</f>
        <v/>
      </c>
      <c r="G65" t="str">
        <f>IFERROR(VLOOKUP(#REF!&amp;"_"&amp;H$7,Database!#REF!,6,0),"")</f>
        <v/>
      </c>
      <c r="H65" t="str">
        <f>IFERROR(VLOOKUP(#REF!&amp;"_"&amp;I$7,Database!#REF!,6,0),"")</f>
        <v/>
      </c>
      <c r="I65" t="str">
        <f>IFERROR(VLOOKUP(#REF!&amp;"_"&amp;J$7,Database!#REF!,6,0),"")</f>
        <v/>
      </c>
      <c r="J65" t="str">
        <f>IFERROR(VLOOKUP(#REF!&amp;"_"&amp;K$7,Database!#REF!,6,0),"")</f>
        <v/>
      </c>
      <c r="K65" t="str">
        <f>IFERROR(VLOOKUP(#REF!&amp;"_"&amp;L$7,Database!#REF!,6,0),"")</f>
        <v/>
      </c>
      <c r="L65" t="str">
        <f>IFERROR(VLOOKUP(#REF!&amp;"_"&amp;M$7,Database!#REF!,6,0),"")</f>
        <v/>
      </c>
      <c r="M65" t="str">
        <f>IFERROR(VLOOKUP(#REF!&amp;"_"&amp;N$7,Database!#REF!,6,0),"")</f>
        <v/>
      </c>
      <c r="N65" t="str">
        <f>IFERROR(VLOOKUP(#REF!&amp;"_"&amp;O$7,Database!#REF!,6,0),"")</f>
        <v/>
      </c>
      <c r="O65" t="str">
        <f>IFERROR(VLOOKUP(#REF!&amp;"_"&amp;P$7,Database!#REF!,6,0),"")</f>
        <v/>
      </c>
      <c r="P65" t="str">
        <f>IFERROR(VLOOKUP(#REF!&amp;"_"&amp;Q$7,Database!#REF!,6,0),"")</f>
        <v/>
      </c>
      <c r="Q65" t="str">
        <f>IFERROR(VLOOKUP(#REF!&amp;"_"&amp;R$7,Database!#REF!,6,0),"")</f>
        <v/>
      </c>
      <c r="R65" t="str">
        <f>IFERROR(VLOOKUP(#REF!&amp;"_"&amp;S$7,Database!#REF!,6,0),"")</f>
        <v/>
      </c>
      <c r="S65" t="str">
        <f>IFERROR(VLOOKUP(#REF!&amp;"_"&amp;T$7,Database!#REF!,6,0),"")</f>
        <v/>
      </c>
      <c r="T65" t="str">
        <f>IFERROR(VLOOKUP(#REF!&amp;"_"&amp;U$7,Database!#REF!,6,0),"")</f>
        <v/>
      </c>
      <c r="U65" t="str">
        <f>IFERROR(VLOOKUP(#REF!&amp;"_"&amp;V$7,Database!#REF!,6,0),"")</f>
        <v/>
      </c>
      <c r="V65" t="str">
        <f>IFERROR(VLOOKUP(#REF!&amp;"_"&amp;W$7,Database!#REF!,6,0),"")</f>
        <v/>
      </c>
      <c r="W65" t="str">
        <f>IFERROR(VLOOKUP(#REF!&amp;"_"&amp;X$7,Database!#REF!,6,0),"")</f>
        <v/>
      </c>
      <c r="X65" t="str">
        <f>IFERROR(VLOOKUP(#REF!&amp;"_"&amp;Y$7,Database!#REF!,6,0),"")</f>
        <v/>
      </c>
      <c r="Y65" t="str">
        <f>IFERROR(VLOOKUP(#REF!&amp;"_"&amp;Z$7,Database!#REF!,6,0),"")</f>
        <v/>
      </c>
      <c r="Z65" t="str">
        <f>IFERROR(VLOOKUP(#REF!&amp;"_"&amp;AA$7,Database!#REF!,6,0),"")</f>
        <v/>
      </c>
      <c r="AA65" t="str">
        <f>IFERROR(VLOOKUP(#REF!&amp;"_"&amp;AB$7,Database!#REF!,6,0),"")</f>
        <v/>
      </c>
      <c r="AB65" t="str">
        <f>IFERROR(VLOOKUP(#REF!&amp;"_"&amp;AC$7,Database!#REF!,6,0),"")</f>
        <v/>
      </c>
      <c r="AC65" t="str">
        <f>IFERROR(VLOOKUP(#REF!&amp;"_"&amp;AD$7,Database!#REF!,6,0),"")</f>
        <v/>
      </c>
      <c r="AD65" t="str">
        <f>IFERROR(VLOOKUP(#REF!&amp;"_"&amp;AE$7,Database!#REF!,6,0),"")</f>
        <v/>
      </c>
      <c r="AE65" t="str">
        <f>IFERROR(VLOOKUP(#REF!&amp;"_"&amp;AF$7,Database!#REF!,6,0),"")</f>
        <v/>
      </c>
      <c r="AF65" t="str">
        <f>IFERROR(VLOOKUP(#REF!&amp;"_"&amp;AG$7,Database!#REF!,6,0),"")</f>
        <v/>
      </c>
      <c r="AG65" t="str">
        <f>IFERROR(VLOOKUP(#REF!&amp;"_"&amp;AH$7,Database!#REF!,6,0),"")</f>
        <v/>
      </c>
      <c r="AH65" t="str">
        <f>IFERROR(VLOOKUP(#REF!&amp;"_"&amp;AI$7,Database!#REF!,6,0),"")</f>
        <v/>
      </c>
      <c r="AI65" t="str">
        <f>IFERROR(VLOOKUP(#REF!&amp;"_"&amp;AJ$7,Database!#REF!,6,0),"")</f>
        <v/>
      </c>
      <c r="AJ65" t="str">
        <f>IFERROR(VLOOKUP(#REF!&amp;"_"&amp;AK$7,Database!#REF!,6,0),"")</f>
        <v/>
      </c>
      <c r="AK65" t="str">
        <f>IFERROR(VLOOKUP(#REF!&amp;"_"&amp;AL$7,Database!#REF!,6,0),"")</f>
        <v/>
      </c>
    </row>
    <row r="66" spans="2:37" x14ac:dyDescent="0.25">
      <c r="B66" t="str">
        <f>IF('Employee Master'!B60="","",'Employee Master'!B60)</f>
        <v/>
      </c>
      <c r="G66" t="str">
        <f>IFERROR(VLOOKUP(#REF!&amp;"_"&amp;H$7,Database!#REF!,6,0),"")</f>
        <v/>
      </c>
      <c r="H66" t="str">
        <f>IFERROR(VLOOKUP(#REF!&amp;"_"&amp;I$7,Database!#REF!,6,0),"")</f>
        <v/>
      </c>
      <c r="I66" t="str">
        <f>IFERROR(VLOOKUP(#REF!&amp;"_"&amp;J$7,Database!#REF!,6,0),"")</f>
        <v/>
      </c>
      <c r="J66" t="str">
        <f>IFERROR(VLOOKUP(#REF!&amp;"_"&amp;K$7,Database!#REF!,6,0),"")</f>
        <v/>
      </c>
      <c r="K66" t="str">
        <f>IFERROR(VLOOKUP(#REF!&amp;"_"&amp;L$7,Database!#REF!,6,0),"")</f>
        <v/>
      </c>
      <c r="L66" t="str">
        <f>IFERROR(VLOOKUP(#REF!&amp;"_"&amp;M$7,Database!#REF!,6,0),"")</f>
        <v/>
      </c>
      <c r="M66" t="str">
        <f>IFERROR(VLOOKUP(#REF!&amp;"_"&amp;N$7,Database!#REF!,6,0),"")</f>
        <v/>
      </c>
      <c r="N66" t="str">
        <f>IFERROR(VLOOKUP(#REF!&amp;"_"&amp;O$7,Database!#REF!,6,0),"")</f>
        <v/>
      </c>
      <c r="O66" t="str">
        <f>IFERROR(VLOOKUP(#REF!&amp;"_"&amp;P$7,Database!#REF!,6,0),"")</f>
        <v/>
      </c>
      <c r="P66" t="str">
        <f>IFERROR(VLOOKUP(#REF!&amp;"_"&amp;Q$7,Database!#REF!,6,0),"")</f>
        <v/>
      </c>
      <c r="Q66" t="str">
        <f>IFERROR(VLOOKUP(#REF!&amp;"_"&amp;R$7,Database!#REF!,6,0),"")</f>
        <v/>
      </c>
      <c r="R66" t="str">
        <f>IFERROR(VLOOKUP(#REF!&amp;"_"&amp;S$7,Database!#REF!,6,0),"")</f>
        <v/>
      </c>
      <c r="S66" t="str">
        <f>IFERROR(VLOOKUP(#REF!&amp;"_"&amp;T$7,Database!#REF!,6,0),"")</f>
        <v/>
      </c>
      <c r="T66" t="str">
        <f>IFERROR(VLOOKUP(#REF!&amp;"_"&amp;U$7,Database!#REF!,6,0),"")</f>
        <v/>
      </c>
      <c r="U66" t="str">
        <f>IFERROR(VLOOKUP(#REF!&amp;"_"&amp;V$7,Database!#REF!,6,0),"")</f>
        <v/>
      </c>
      <c r="V66" t="str">
        <f>IFERROR(VLOOKUP(#REF!&amp;"_"&amp;W$7,Database!#REF!,6,0),"")</f>
        <v/>
      </c>
      <c r="W66" t="str">
        <f>IFERROR(VLOOKUP(#REF!&amp;"_"&amp;X$7,Database!#REF!,6,0),"")</f>
        <v/>
      </c>
      <c r="X66" t="str">
        <f>IFERROR(VLOOKUP(#REF!&amp;"_"&amp;Y$7,Database!#REF!,6,0),"")</f>
        <v/>
      </c>
      <c r="Y66" t="str">
        <f>IFERROR(VLOOKUP(#REF!&amp;"_"&amp;Z$7,Database!#REF!,6,0),"")</f>
        <v/>
      </c>
      <c r="Z66" t="str">
        <f>IFERROR(VLOOKUP(#REF!&amp;"_"&amp;AA$7,Database!#REF!,6,0),"")</f>
        <v/>
      </c>
      <c r="AA66" t="str">
        <f>IFERROR(VLOOKUP(#REF!&amp;"_"&amp;AB$7,Database!#REF!,6,0),"")</f>
        <v/>
      </c>
      <c r="AB66" t="str">
        <f>IFERROR(VLOOKUP(#REF!&amp;"_"&amp;AC$7,Database!#REF!,6,0),"")</f>
        <v/>
      </c>
      <c r="AC66" t="str">
        <f>IFERROR(VLOOKUP(#REF!&amp;"_"&amp;AD$7,Database!#REF!,6,0),"")</f>
        <v/>
      </c>
      <c r="AD66" t="str">
        <f>IFERROR(VLOOKUP(#REF!&amp;"_"&amp;AE$7,Database!#REF!,6,0),"")</f>
        <v/>
      </c>
      <c r="AE66" t="str">
        <f>IFERROR(VLOOKUP(#REF!&amp;"_"&amp;AF$7,Database!#REF!,6,0),"")</f>
        <v/>
      </c>
      <c r="AF66" t="str">
        <f>IFERROR(VLOOKUP(#REF!&amp;"_"&amp;AG$7,Database!#REF!,6,0),"")</f>
        <v/>
      </c>
      <c r="AG66" t="str">
        <f>IFERROR(VLOOKUP(#REF!&amp;"_"&amp;AH$7,Database!#REF!,6,0),"")</f>
        <v/>
      </c>
      <c r="AH66" t="str">
        <f>IFERROR(VLOOKUP(#REF!&amp;"_"&amp;AI$7,Database!#REF!,6,0),"")</f>
        <v/>
      </c>
      <c r="AI66" t="str">
        <f>IFERROR(VLOOKUP(#REF!&amp;"_"&amp;AJ$7,Database!#REF!,6,0),"")</f>
        <v/>
      </c>
      <c r="AJ66" t="str">
        <f>IFERROR(VLOOKUP(#REF!&amp;"_"&amp;AK$7,Database!#REF!,6,0),"")</f>
        <v/>
      </c>
      <c r="AK66" t="str">
        <f>IFERROR(VLOOKUP(#REF!&amp;"_"&amp;AL$7,Database!#REF!,6,0),"")</f>
        <v/>
      </c>
    </row>
    <row r="67" spans="2:37" x14ac:dyDescent="0.25">
      <c r="B67" t="str">
        <f>IF('Employee Master'!B61="","",'Employee Master'!B61)</f>
        <v/>
      </c>
      <c r="G67" t="str">
        <f>IFERROR(VLOOKUP(#REF!&amp;"_"&amp;H$7,Database!#REF!,6,0),"")</f>
        <v/>
      </c>
      <c r="H67" t="str">
        <f>IFERROR(VLOOKUP(#REF!&amp;"_"&amp;I$7,Database!#REF!,6,0),"")</f>
        <v/>
      </c>
      <c r="I67" t="str">
        <f>IFERROR(VLOOKUP(#REF!&amp;"_"&amp;J$7,Database!#REF!,6,0),"")</f>
        <v/>
      </c>
      <c r="J67" t="str">
        <f>IFERROR(VLOOKUP(#REF!&amp;"_"&amp;K$7,Database!#REF!,6,0),"")</f>
        <v/>
      </c>
      <c r="K67" t="str">
        <f>IFERROR(VLOOKUP(#REF!&amp;"_"&amp;L$7,Database!#REF!,6,0),"")</f>
        <v/>
      </c>
      <c r="L67" t="str">
        <f>IFERROR(VLOOKUP(#REF!&amp;"_"&amp;M$7,Database!#REF!,6,0),"")</f>
        <v/>
      </c>
      <c r="M67" t="str">
        <f>IFERROR(VLOOKUP(#REF!&amp;"_"&amp;N$7,Database!#REF!,6,0),"")</f>
        <v/>
      </c>
      <c r="N67" t="str">
        <f>IFERROR(VLOOKUP(#REF!&amp;"_"&amp;O$7,Database!#REF!,6,0),"")</f>
        <v/>
      </c>
      <c r="O67" t="str">
        <f>IFERROR(VLOOKUP(#REF!&amp;"_"&amp;P$7,Database!#REF!,6,0),"")</f>
        <v/>
      </c>
      <c r="P67" t="str">
        <f>IFERROR(VLOOKUP(#REF!&amp;"_"&amp;Q$7,Database!#REF!,6,0),"")</f>
        <v/>
      </c>
      <c r="Q67" t="str">
        <f>IFERROR(VLOOKUP(#REF!&amp;"_"&amp;R$7,Database!#REF!,6,0),"")</f>
        <v/>
      </c>
      <c r="R67" t="str">
        <f>IFERROR(VLOOKUP(#REF!&amp;"_"&amp;S$7,Database!#REF!,6,0),"")</f>
        <v/>
      </c>
      <c r="S67" t="str">
        <f>IFERROR(VLOOKUP(#REF!&amp;"_"&amp;T$7,Database!#REF!,6,0),"")</f>
        <v/>
      </c>
      <c r="T67" t="str">
        <f>IFERROR(VLOOKUP(#REF!&amp;"_"&amp;U$7,Database!#REF!,6,0),"")</f>
        <v/>
      </c>
      <c r="U67" t="str">
        <f>IFERROR(VLOOKUP(#REF!&amp;"_"&amp;V$7,Database!#REF!,6,0),"")</f>
        <v/>
      </c>
      <c r="V67" t="str">
        <f>IFERROR(VLOOKUP(#REF!&amp;"_"&amp;W$7,Database!#REF!,6,0),"")</f>
        <v/>
      </c>
      <c r="W67" t="str">
        <f>IFERROR(VLOOKUP(#REF!&amp;"_"&amp;X$7,Database!#REF!,6,0),"")</f>
        <v/>
      </c>
      <c r="X67" t="str">
        <f>IFERROR(VLOOKUP(#REF!&amp;"_"&amp;Y$7,Database!#REF!,6,0),"")</f>
        <v/>
      </c>
      <c r="Y67" t="str">
        <f>IFERROR(VLOOKUP(#REF!&amp;"_"&amp;Z$7,Database!#REF!,6,0),"")</f>
        <v/>
      </c>
      <c r="Z67" t="str">
        <f>IFERROR(VLOOKUP(#REF!&amp;"_"&amp;AA$7,Database!#REF!,6,0),"")</f>
        <v/>
      </c>
      <c r="AA67" t="str">
        <f>IFERROR(VLOOKUP(#REF!&amp;"_"&amp;AB$7,Database!#REF!,6,0),"")</f>
        <v/>
      </c>
      <c r="AB67" t="str">
        <f>IFERROR(VLOOKUP(#REF!&amp;"_"&amp;AC$7,Database!#REF!,6,0),"")</f>
        <v/>
      </c>
      <c r="AC67" t="str">
        <f>IFERROR(VLOOKUP(#REF!&amp;"_"&amp;AD$7,Database!#REF!,6,0),"")</f>
        <v/>
      </c>
      <c r="AD67" t="str">
        <f>IFERROR(VLOOKUP(#REF!&amp;"_"&amp;AE$7,Database!#REF!,6,0),"")</f>
        <v/>
      </c>
      <c r="AE67" t="str">
        <f>IFERROR(VLOOKUP(#REF!&amp;"_"&amp;AF$7,Database!#REF!,6,0),"")</f>
        <v/>
      </c>
      <c r="AF67" t="str">
        <f>IFERROR(VLOOKUP(#REF!&amp;"_"&amp;AG$7,Database!#REF!,6,0),"")</f>
        <v/>
      </c>
      <c r="AG67" t="str">
        <f>IFERROR(VLOOKUP(#REF!&amp;"_"&amp;AH$7,Database!#REF!,6,0),"")</f>
        <v/>
      </c>
      <c r="AH67" t="str">
        <f>IFERROR(VLOOKUP(#REF!&amp;"_"&amp;AI$7,Database!#REF!,6,0),"")</f>
        <v/>
      </c>
      <c r="AI67" t="str">
        <f>IFERROR(VLOOKUP(#REF!&amp;"_"&amp;AJ$7,Database!#REF!,6,0),"")</f>
        <v/>
      </c>
      <c r="AJ67" t="str">
        <f>IFERROR(VLOOKUP(#REF!&amp;"_"&amp;AK$7,Database!#REF!,6,0),"")</f>
        <v/>
      </c>
      <c r="AK67" t="str">
        <f>IFERROR(VLOOKUP(#REF!&amp;"_"&amp;AL$7,Database!#REF!,6,0),"")</f>
        <v/>
      </c>
    </row>
    <row r="68" spans="2:37" x14ac:dyDescent="0.25">
      <c r="B68" t="str">
        <f>IF('Employee Master'!B62="","",'Employee Master'!B62)</f>
        <v/>
      </c>
      <c r="G68" t="str">
        <f>IFERROR(VLOOKUP(#REF!&amp;"_"&amp;H$7,Database!#REF!,6,0),"")</f>
        <v/>
      </c>
      <c r="H68" t="str">
        <f>IFERROR(VLOOKUP(#REF!&amp;"_"&amp;I$7,Database!#REF!,6,0),"")</f>
        <v/>
      </c>
      <c r="I68" t="str">
        <f>IFERROR(VLOOKUP(#REF!&amp;"_"&amp;J$7,Database!#REF!,6,0),"")</f>
        <v/>
      </c>
      <c r="J68" t="str">
        <f>IFERROR(VLOOKUP(#REF!&amp;"_"&amp;K$7,Database!#REF!,6,0),"")</f>
        <v/>
      </c>
      <c r="K68" t="str">
        <f>IFERROR(VLOOKUP(#REF!&amp;"_"&amp;L$7,Database!#REF!,6,0),"")</f>
        <v/>
      </c>
      <c r="L68" t="str">
        <f>IFERROR(VLOOKUP(#REF!&amp;"_"&amp;M$7,Database!#REF!,6,0),"")</f>
        <v/>
      </c>
      <c r="M68" t="str">
        <f>IFERROR(VLOOKUP(#REF!&amp;"_"&amp;N$7,Database!#REF!,6,0),"")</f>
        <v/>
      </c>
      <c r="N68" t="str">
        <f>IFERROR(VLOOKUP(#REF!&amp;"_"&amp;O$7,Database!#REF!,6,0),"")</f>
        <v/>
      </c>
      <c r="O68" t="str">
        <f>IFERROR(VLOOKUP(#REF!&amp;"_"&amp;P$7,Database!#REF!,6,0),"")</f>
        <v/>
      </c>
      <c r="P68" t="str">
        <f>IFERROR(VLOOKUP(#REF!&amp;"_"&amp;Q$7,Database!#REF!,6,0),"")</f>
        <v/>
      </c>
      <c r="Q68" t="str">
        <f>IFERROR(VLOOKUP(#REF!&amp;"_"&amp;R$7,Database!#REF!,6,0),"")</f>
        <v/>
      </c>
      <c r="R68" t="str">
        <f>IFERROR(VLOOKUP(#REF!&amp;"_"&amp;S$7,Database!#REF!,6,0),"")</f>
        <v/>
      </c>
      <c r="S68" t="str">
        <f>IFERROR(VLOOKUP(#REF!&amp;"_"&amp;T$7,Database!#REF!,6,0),"")</f>
        <v/>
      </c>
      <c r="T68" t="str">
        <f>IFERROR(VLOOKUP(#REF!&amp;"_"&amp;U$7,Database!#REF!,6,0),"")</f>
        <v/>
      </c>
      <c r="U68" t="str">
        <f>IFERROR(VLOOKUP(#REF!&amp;"_"&amp;V$7,Database!#REF!,6,0),"")</f>
        <v/>
      </c>
      <c r="V68" t="str">
        <f>IFERROR(VLOOKUP(#REF!&amp;"_"&amp;W$7,Database!#REF!,6,0),"")</f>
        <v/>
      </c>
      <c r="W68" t="str">
        <f>IFERROR(VLOOKUP(#REF!&amp;"_"&amp;X$7,Database!#REF!,6,0),"")</f>
        <v/>
      </c>
      <c r="X68" t="str">
        <f>IFERROR(VLOOKUP(#REF!&amp;"_"&amp;Y$7,Database!#REF!,6,0),"")</f>
        <v/>
      </c>
      <c r="Y68" t="str">
        <f>IFERROR(VLOOKUP(#REF!&amp;"_"&amp;Z$7,Database!#REF!,6,0),"")</f>
        <v/>
      </c>
      <c r="Z68" t="str">
        <f>IFERROR(VLOOKUP(#REF!&amp;"_"&amp;AA$7,Database!#REF!,6,0),"")</f>
        <v/>
      </c>
      <c r="AA68" t="str">
        <f>IFERROR(VLOOKUP(#REF!&amp;"_"&amp;AB$7,Database!#REF!,6,0),"")</f>
        <v/>
      </c>
      <c r="AB68" t="str">
        <f>IFERROR(VLOOKUP(#REF!&amp;"_"&amp;AC$7,Database!#REF!,6,0),"")</f>
        <v/>
      </c>
      <c r="AC68" t="str">
        <f>IFERROR(VLOOKUP(#REF!&amp;"_"&amp;AD$7,Database!#REF!,6,0),"")</f>
        <v/>
      </c>
      <c r="AD68" t="str">
        <f>IFERROR(VLOOKUP(#REF!&amp;"_"&amp;AE$7,Database!#REF!,6,0),"")</f>
        <v/>
      </c>
      <c r="AE68" t="str">
        <f>IFERROR(VLOOKUP(#REF!&amp;"_"&amp;AF$7,Database!#REF!,6,0),"")</f>
        <v/>
      </c>
      <c r="AF68" t="str">
        <f>IFERROR(VLOOKUP(#REF!&amp;"_"&amp;AG$7,Database!#REF!,6,0),"")</f>
        <v/>
      </c>
      <c r="AG68" t="str">
        <f>IFERROR(VLOOKUP(#REF!&amp;"_"&amp;AH$7,Database!#REF!,6,0),"")</f>
        <v/>
      </c>
      <c r="AH68" t="str">
        <f>IFERROR(VLOOKUP(#REF!&amp;"_"&amp;AI$7,Database!#REF!,6,0),"")</f>
        <v/>
      </c>
      <c r="AI68" t="str">
        <f>IFERROR(VLOOKUP(#REF!&amp;"_"&amp;AJ$7,Database!#REF!,6,0),"")</f>
        <v/>
      </c>
      <c r="AJ68" t="str">
        <f>IFERROR(VLOOKUP(#REF!&amp;"_"&amp;AK$7,Database!#REF!,6,0),"")</f>
        <v/>
      </c>
      <c r="AK68" t="str">
        <f>IFERROR(VLOOKUP(#REF!&amp;"_"&amp;AL$7,Database!#REF!,6,0),"")</f>
        <v/>
      </c>
    </row>
    <row r="69" spans="2:37" x14ac:dyDescent="0.25">
      <c r="B69" t="str">
        <f>IF('Employee Master'!B63="","",'Employee Master'!B63)</f>
        <v/>
      </c>
      <c r="G69" t="str">
        <f>IFERROR(VLOOKUP(#REF!&amp;"_"&amp;H$7,Database!#REF!,6,0),"")</f>
        <v/>
      </c>
      <c r="H69" t="str">
        <f>IFERROR(VLOOKUP(#REF!&amp;"_"&amp;I$7,Database!#REF!,6,0),"")</f>
        <v/>
      </c>
      <c r="I69" t="str">
        <f>IFERROR(VLOOKUP(#REF!&amp;"_"&amp;J$7,Database!#REF!,6,0),"")</f>
        <v/>
      </c>
      <c r="J69" t="str">
        <f>IFERROR(VLOOKUP(#REF!&amp;"_"&amp;K$7,Database!#REF!,6,0),"")</f>
        <v/>
      </c>
      <c r="K69" t="str">
        <f>IFERROR(VLOOKUP(#REF!&amp;"_"&amp;L$7,Database!#REF!,6,0),"")</f>
        <v/>
      </c>
      <c r="L69" t="str">
        <f>IFERROR(VLOOKUP(#REF!&amp;"_"&amp;M$7,Database!#REF!,6,0),"")</f>
        <v/>
      </c>
      <c r="M69" t="str">
        <f>IFERROR(VLOOKUP(#REF!&amp;"_"&amp;N$7,Database!#REF!,6,0),"")</f>
        <v/>
      </c>
      <c r="N69" t="str">
        <f>IFERROR(VLOOKUP(#REF!&amp;"_"&amp;O$7,Database!#REF!,6,0),"")</f>
        <v/>
      </c>
      <c r="O69" t="str">
        <f>IFERROR(VLOOKUP(#REF!&amp;"_"&amp;P$7,Database!#REF!,6,0),"")</f>
        <v/>
      </c>
      <c r="P69" t="str">
        <f>IFERROR(VLOOKUP(#REF!&amp;"_"&amp;Q$7,Database!#REF!,6,0),"")</f>
        <v/>
      </c>
      <c r="Q69" t="str">
        <f>IFERROR(VLOOKUP(#REF!&amp;"_"&amp;R$7,Database!#REF!,6,0),"")</f>
        <v/>
      </c>
      <c r="R69" t="str">
        <f>IFERROR(VLOOKUP(#REF!&amp;"_"&amp;S$7,Database!#REF!,6,0),"")</f>
        <v/>
      </c>
      <c r="S69" t="str">
        <f>IFERROR(VLOOKUP(#REF!&amp;"_"&amp;T$7,Database!#REF!,6,0),"")</f>
        <v/>
      </c>
      <c r="T69" t="str">
        <f>IFERROR(VLOOKUP(#REF!&amp;"_"&amp;U$7,Database!#REF!,6,0),"")</f>
        <v/>
      </c>
      <c r="U69" t="str">
        <f>IFERROR(VLOOKUP(#REF!&amp;"_"&amp;V$7,Database!#REF!,6,0),"")</f>
        <v/>
      </c>
      <c r="V69" t="str">
        <f>IFERROR(VLOOKUP(#REF!&amp;"_"&amp;W$7,Database!#REF!,6,0),"")</f>
        <v/>
      </c>
      <c r="W69" t="str">
        <f>IFERROR(VLOOKUP(#REF!&amp;"_"&amp;X$7,Database!#REF!,6,0),"")</f>
        <v/>
      </c>
      <c r="X69" t="str">
        <f>IFERROR(VLOOKUP(#REF!&amp;"_"&amp;Y$7,Database!#REF!,6,0),"")</f>
        <v/>
      </c>
      <c r="Y69" t="str">
        <f>IFERROR(VLOOKUP(#REF!&amp;"_"&amp;Z$7,Database!#REF!,6,0),"")</f>
        <v/>
      </c>
      <c r="Z69" t="str">
        <f>IFERROR(VLOOKUP(#REF!&amp;"_"&amp;AA$7,Database!#REF!,6,0),"")</f>
        <v/>
      </c>
      <c r="AA69" t="str">
        <f>IFERROR(VLOOKUP(#REF!&amp;"_"&amp;AB$7,Database!#REF!,6,0),"")</f>
        <v/>
      </c>
      <c r="AB69" t="str">
        <f>IFERROR(VLOOKUP(#REF!&amp;"_"&amp;AC$7,Database!#REF!,6,0),"")</f>
        <v/>
      </c>
      <c r="AC69" t="str">
        <f>IFERROR(VLOOKUP(#REF!&amp;"_"&amp;AD$7,Database!#REF!,6,0),"")</f>
        <v/>
      </c>
      <c r="AD69" t="str">
        <f>IFERROR(VLOOKUP(#REF!&amp;"_"&amp;AE$7,Database!#REF!,6,0),"")</f>
        <v/>
      </c>
      <c r="AE69" t="str">
        <f>IFERROR(VLOOKUP(#REF!&amp;"_"&amp;AF$7,Database!#REF!,6,0),"")</f>
        <v/>
      </c>
      <c r="AF69" t="str">
        <f>IFERROR(VLOOKUP(#REF!&amp;"_"&amp;AG$7,Database!#REF!,6,0),"")</f>
        <v/>
      </c>
      <c r="AG69" t="str">
        <f>IFERROR(VLOOKUP(#REF!&amp;"_"&amp;AH$7,Database!#REF!,6,0),"")</f>
        <v/>
      </c>
      <c r="AH69" t="str">
        <f>IFERROR(VLOOKUP(#REF!&amp;"_"&amp;AI$7,Database!#REF!,6,0),"")</f>
        <v/>
      </c>
      <c r="AI69" t="str">
        <f>IFERROR(VLOOKUP(#REF!&amp;"_"&amp;AJ$7,Database!#REF!,6,0),"")</f>
        <v/>
      </c>
      <c r="AJ69" t="str">
        <f>IFERROR(VLOOKUP(#REF!&amp;"_"&amp;AK$7,Database!#REF!,6,0),"")</f>
        <v/>
      </c>
      <c r="AK69" t="str">
        <f>IFERROR(VLOOKUP(#REF!&amp;"_"&amp;AL$7,Database!#REF!,6,0),"")</f>
        <v/>
      </c>
    </row>
    <row r="70" spans="2:37" x14ac:dyDescent="0.25">
      <c r="B70" t="str">
        <f>IF('Employee Master'!B64="","",'Employee Master'!B64)</f>
        <v/>
      </c>
      <c r="G70" t="str">
        <f>IFERROR(VLOOKUP(#REF!&amp;"_"&amp;H$7,Database!#REF!,6,0),"")</f>
        <v/>
      </c>
      <c r="H70" t="str">
        <f>IFERROR(VLOOKUP(#REF!&amp;"_"&amp;I$7,Database!#REF!,6,0),"")</f>
        <v/>
      </c>
      <c r="I70" t="str">
        <f>IFERROR(VLOOKUP(#REF!&amp;"_"&amp;J$7,Database!#REF!,6,0),"")</f>
        <v/>
      </c>
      <c r="J70" t="str">
        <f>IFERROR(VLOOKUP(#REF!&amp;"_"&amp;K$7,Database!#REF!,6,0),"")</f>
        <v/>
      </c>
      <c r="K70" t="str">
        <f>IFERROR(VLOOKUP(#REF!&amp;"_"&amp;L$7,Database!#REF!,6,0),"")</f>
        <v/>
      </c>
      <c r="L70" t="str">
        <f>IFERROR(VLOOKUP(#REF!&amp;"_"&amp;M$7,Database!#REF!,6,0),"")</f>
        <v/>
      </c>
      <c r="M70" t="str">
        <f>IFERROR(VLOOKUP(#REF!&amp;"_"&amp;N$7,Database!#REF!,6,0),"")</f>
        <v/>
      </c>
      <c r="N70" t="str">
        <f>IFERROR(VLOOKUP(#REF!&amp;"_"&amp;O$7,Database!#REF!,6,0),"")</f>
        <v/>
      </c>
      <c r="O70" t="str">
        <f>IFERROR(VLOOKUP(#REF!&amp;"_"&amp;P$7,Database!#REF!,6,0),"")</f>
        <v/>
      </c>
      <c r="P70" t="str">
        <f>IFERROR(VLOOKUP(#REF!&amp;"_"&amp;Q$7,Database!#REF!,6,0),"")</f>
        <v/>
      </c>
      <c r="Q70" t="str">
        <f>IFERROR(VLOOKUP(#REF!&amp;"_"&amp;R$7,Database!#REF!,6,0),"")</f>
        <v/>
      </c>
      <c r="R70" t="str">
        <f>IFERROR(VLOOKUP(#REF!&amp;"_"&amp;S$7,Database!#REF!,6,0),"")</f>
        <v/>
      </c>
      <c r="S70" t="str">
        <f>IFERROR(VLOOKUP(#REF!&amp;"_"&amp;T$7,Database!#REF!,6,0),"")</f>
        <v/>
      </c>
      <c r="T70" t="str">
        <f>IFERROR(VLOOKUP(#REF!&amp;"_"&amp;U$7,Database!#REF!,6,0),"")</f>
        <v/>
      </c>
      <c r="U70" t="str">
        <f>IFERROR(VLOOKUP(#REF!&amp;"_"&amp;V$7,Database!#REF!,6,0),"")</f>
        <v/>
      </c>
      <c r="V70" t="str">
        <f>IFERROR(VLOOKUP(#REF!&amp;"_"&amp;W$7,Database!#REF!,6,0),"")</f>
        <v/>
      </c>
      <c r="W70" t="str">
        <f>IFERROR(VLOOKUP(#REF!&amp;"_"&amp;X$7,Database!#REF!,6,0),"")</f>
        <v/>
      </c>
      <c r="X70" t="str">
        <f>IFERROR(VLOOKUP(#REF!&amp;"_"&amp;Y$7,Database!#REF!,6,0),"")</f>
        <v/>
      </c>
      <c r="Y70" t="str">
        <f>IFERROR(VLOOKUP(#REF!&amp;"_"&amp;Z$7,Database!#REF!,6,0),"")</f>
        <v/>
      </c>
      <c r="Z70" t="str">
        <f>IFERROR(VLOOKUP(#REF!&amp;"_"&amp;AA$7,Database!#REF!,6,0),"")</f>
        <v/>
      </c>
      <c r="AA70" t="str">
        <f>IFERROR(VLOOKUP(#REF!&amp;"_"&amp;AB$7,Database!#REF!,6,0),"")</f>
        <v/>
      </c>
      <c r="AB70" t="str">
        <f>IFERROR(VLOOKUP(#REF!&amp;"_"&amp;AC$7,Database!#REF!,6,0),"")</f>
        <v/>
      </c>
      <c r="AC70" t="str">
        <f>IFERROR(VLOOKUP(#REF!&amp;"_"&amp;AD$7,Database!#REF!,6,0),"")</f>
        <v/>
      </c>
      <c r="AD70" t="str">
        <f>IFERROR(VLOOKUP(#REF!&amp;"_"&amp;AE$7,Database!#REF!,6,0),"")</f>
        <v/>
      </c>
      <c r="AE70" t="str">
        <f>IFERROR(VLOOKUP(#REF!&amp;"_"&amp;AF$7,Database!#REF!,6,0),"")</f>
        <v/>
      </c>
      <c r="AF70" t="str">
        <f>IFERROR(VLOOKUP(#REF!&amp;"_"&amp;AG$7,Database!#REF!,6,0),"")</f>
        <v/>
      </c>
      <c r="AG70" t="str">
        <f>IFERROR(VLOOKUP(#REF!&amp;"_"&amp;AH$7,Database!#REF!,6,0),"")</f>
        <v/>
      </c>
      <c r="AH70" t="str">
        <f>IFERROR(VLOOKUP(#REF!&amp;"_"&amp;AI$7,Database!#REF!,6,0),"")</f>
        <v/>
      </c>
      <c r="AI70" t="str">
        <f>IFERROR(VLOOKUP(#REF!&amp;"_"&amp;AJ$7,Database!#REF!,6,0),"")</f>
        <v/>
      </c>
      <c r="AJ70" t="str">
        <f>IFERROR(VLOOKUP(#REF!&amp;"_"&amp;AK$7,Database!#REF!,6,0),"")</f>
        <v/>
      </c>
      <c r="AK70" t="str">
        <f>IFERROR(VLOOKUP(#REF!&amp;"_"&amp;AL$7,Database!#REF!,6,0),"")</f>
        <v/>
      </c>
    </row>
    <row r="71" spans="2:37" x14ac:dyDescent="0.25">
      <c r="B71" t="str">
        <f>IF('Employee Master'!B65="","",'Employee Master'!B65)</f>
        <v/>
      </c>
      <c r="G71" t="str">
        <f>IFERROR(VLOOKUP(#REF!&amp;"_"&amp;H$7,Database!#REF!,6,0),"")</f>
        <v/>
      </c>
      <c r="H71" t="str">
        <f>IFERROR(VLOOKUP(#REF!&amp;"_"&amp;I$7,Database!#REF!,6,0),"")</f>
        <v/>
      </c>
      <c r="I71" t="str">
        <f>IFERROR(VLOOKUP(#REF!&amp;"_"&amp;J$7,Database!#REF!,6,0),"")</f>
        <v/>
      </c>
      <c r="J71" t="str">
        <f>IFERROR(VLOOKUP(#REF!&amp;"_"&amp;K$7,Database!#REF!,6,0),"")</f>
        <v/>
      </c>
      <c r="K71" t="str">
        <f>IFERROR(VLOOKUP(#REF!&amp;"_"&amp;L$7,Database!#REF!,6,0),"")</f>
        <v/>
      </c>
      <c r="L71" t="str">
        <f>IFERROR(VLOOKUP(#REF!&amp;"_"&amp;M$7,Database!#REF!,6,0),"")</f>
        <v/>
      </c>
      <c r="M71" t="str">
        <f>IFERROR(VLOOKUP(#REF!&amp;"_"&amp;N$7,Database!#REF!,6,0),"")</f>
        <v/>
      </c>
      <c r="N71" t="str">
        <f>IFERROR(VLOOKUP(#REF!&amp;"_"&amp;O$7,Database!#REF!,6,0),"")</f>
        <v/>
      </c>
      <c r="O71" t="str">
        <f>IFERROR(VLOOKUP(#REF!&amp;"_"&amp;P$7,Database!#REF!,6,0),"")</f>
        <v/>
      </c>
      <c r="P71" t="str">
        <f>IFERROR(VLOOKUP(#REF!&amp;"_"&amp;Q$7,Database!#REF!,6,0),"")</f>
        <v/>
      </c>
      <c r="Q71" t="str">
        <f>IFERROR(VLOOKUP(#REF!&amp;"_"&amp;R$7,Database!#REF!,6,0),"")</f>
        <v/>
      </c>
      <c r="R71" t="str">
        <f>IFERROR(VLOOKUP(#REF!&amp;"_"&amp;S$7,Database!#REF!,6,0),"")</f>
        <v/>
      </c>
      <c r="S71" t="str">
        <f>IFERROR(VLOOKUP(#REF!&amp;"_"&amp;T$7,Database!#REF!,6,0),"")</f>
        <v/>
      </c>
      <c r="T71" t="str">
        <f>IFERROR(VLOOKUP(#REF!&amp;"_"&amp;U$7,Database!#REF!,6,0),"")</f>
        <v/>
      </c>
      <c r="U71" t="str">
        <f>IFERROR(VLOOKUP(#REF!&amp;"_"&amp;V$7,Database!#REF!,6,0),"")</f>
        <v/>
      </c>
      <c r="V71" t="str">
        <f>IFERROR(VLOOKUP(#REF!&amp;"_"&amp;W$7,Database!#REF!,6,0),"")</f>
        <v/>
      </c>
      <c r="W71" t="str">
        <f>IFERROR(VLOOKUP(#REF!&amp;"_"&amp;X$7,Database!#REF!,6,0),"")</f>
        <v/>
      </c>
      <c r="X71" t="str">
        <f>IFERROR(VLOOKUP(#REF!&amp;"_"&amp;Y$7,Database!#REF!,6,0),"")</f>
        <v/>
      </c>
      <c r="Y71" t="str">
        <f>IFERROR(VLOOKUP(#REF!&amp;"_"&amp;Z$7,Database!#REF!,6,0),"")</f>
        <v/>
      </c>
      <c r="Z71" t="str">
        <f>IFERROR(VLOOKUP(#REF!&amp;"_"&amp;AA$7,Database!#REF!,6,0),"")</f>
        <v/>
      </c>
      <c r="AA71" t="str">
        <f>IFERROR(VLOOKUP(#REF!&amp;"_"&amp;AB$7,Database!#REF!,6,0),"")</f>
        <v/>
      </c>
      <c r="AB71" t="str">
        <f>IFERROR(VLOOKUP(#REF!&amp;"_"&amp;AC$7,Database!#REF!,6,0),"")</f>
        <v/>
      </c>
      <c r="AC71" t="str">
        <f>IFERROR(VLOOKUP(#REF!&amp;"_"&amp;AD$7,Database!#REF!,6,0),"")</f>
        <v/>
      </c>
      <c r="AD71" t="str">
        <f>IFERROR(VLOOKUP(#REF!&amp;"_"&amp;AE$7,Database!#REF!,6,0),"")</f>
        <v/>
      </c>
      <c r="AE71" t="str">
        <f>IFERROR(VLOOKUP(#REF!&amp;"_"&amp;AF$7,Database!#REF!,6,0),"")</f>
        <v/>
      </c>
      <c r="AF71" t="str">
        <f>IFERROR(VLOOKUP(#REF!&amp;"_"&amp;AG$7,Database!#REF!,6,0),"")</f>
        <v/>
      </c>
      <c r="AG71" t="str">
        <f>IFERROR(VLOOKUP(#REF!&amp;"_"&amp;AH$7,Database!#REF!,6,0),"")</f>
        <v/>
      </c>
      <c r="AH71" t="str">
        <f>IFERROR(VLOOKUP(#REF!&amp;"_"&amp;AI$7,Database!#REF!,6,0),"")</f>
        <v/>
      </c>
      <c r="AI71" t="str">
        <f>IFERROR(VLOOKUP(#REF!&amp;"_"&amp;AJ$7,Database!#REF!,6,0),"")</f>
        <v/>
      </c>
      <c r="AJ71" t="str">
        <f>IFERROR(VLOOKUP(#REF!&amp;"_"&amp;AK$7,Database!#REF!,6,0),"")</f>
        <v/>
      </c>
      <c r="AK71" t="str">
        <f>IFERROR(VLOOKUP(#REF!&amp;"_"&amp;AL$7,Database!#REF!,6,0),"")</f>
        <v/>
      </c>
    </row>
    <row r="72" spans="2:37" x14ac:dyDescent="0.25">
      <c r="B72" t="str">
        <f>IF('Employee Master'!B66="","",'Employee Master'!B66)</f>
        <v/>
      </c>
      <c r="G72" t="str">
        <f>IFERROR(VLOOKUP(#REF!&amp;"_"&amp;H$7,Database!#REF!,6,0),"")</f>
        <v/>
      </c>
      <c r="H72" t="str">
        <f>IFERROR(VLOOKUP(#REF!&amp;"_"&amp;I$7,Database!#REF!,6,0),"")</f>
        <v/>
      </c>
      <c r="I72" t="str">
        <f>IFERROR(VLOOKUP(#REF!&amp;"_"&amp;J$7,Database!#REF!,6,0),"")</f>
        <v/>
      </c>
      <c r="J72" t="str">
        <f>IFERROR(VLOOKUP(#REF!&amp;"_"&amp;K$7,Database!#REF!,6,0),"")</f>
        <v/>
      </c>
      <c r="K72" t="str">
        <f>IFERROR(VLOOKUP(#REF!&amp;"_"&amp;L$7,Database!#REF!,6,0),"")</f>
        <v/>
      </c>
      <c r="L72" t="str">
        <f>IFERROR(VLOOKUP(#REF!&amp;"_"&amp;M$7,Database!#REF!,6,0),"")</f>
        <v/>
      </c>
      <c r="M72" t="str">
        <f>IFERROR(VLOOKUP(#REF!&amp;"_"&amp;N$7,Database!#REF!,6,0),"")</f>
        <v/>
      </c>
      <c r="N72" t="str">
        <f>IFERROR(VLOOKUP(#REF!&amp;"_"&amp;O$7,Database!#REF!,6,0),"")</f>
        <v/>
      </c>
      <c r="O72" t="str">
        <f>IFERROR(VLOOKUP(#REF!&amp;"_"&amp;P$7,Database!#REF!,6,0),"")</f>
        <v/>
      </c>
      <c r="P72" t="str">
        <f>IFERROR(VLOOKUP(#REF!&amp;"_"&amp;Q$7,Database!#REF!,6,0),"")</f>
        <v/>
      </c>
      <c r="Q72" t="str">
        <f>IFERROR(VLOOKUP(#REF!&amp;"_"&amp;R$7,Database!#REF!,6,0),"")</f>
        <v/>
      </c>
      <c r="R72" t="str">
        <f>IFERROR(VLOOKUP(#REF!&amp;"_"&amp;S$7,Database!#REF!,6,0),"")</f>
        <v/>
      </c>
      <c r="S72" t="str">
        <f>IFERROR(VLOOKUP(#REF!&amp;"_"&amp;T$7,Database!#REF!,6,0),"")</f>
        <v/>
      </c>
      <c r="T72" t="str">
        <f>IFERROR(VLOOKUP(#REF!&amp;"_"&amp;U$7,Database!#REF!,6,0),"")</f>
        <v/>
      </c>
      <c r="U72" t="str">
        <f>IFERROR(VLOOKUP(#REF!&amp;"_"&amp;V$7,Database!#REF!,6,0),"")</f>
        <v/>
      </c>
      <c r="V72" t="str">
        <f>IFERROR(VLOOKUP(#REF!&amp;"_"&amp;W$7,Database!#REF!,6,0),"")</f>
        <v/>
      </c>
      <c r="W72" t="str">
        <f>IFERROR(VLOOKUP(#REF!&amp;"_"&amp;X$7,Database!#REF!,6,0),"")</f>
        <v/>
      </c>
      <c r="X72" t="str">
        <f>IFERROR(VLOOKUP(#REF!&amp;"_"&amp;Y$7,Database!#REF!,6,0),"")</f>
        <v/>
      </c>
      <c r="Y72" t="str">
        <f>IFERROR(VLOOKUP(#REF!&amp;"_"&amp;Z$7,Database!#REF!,6,0),"")</f>
        <v/>
      </c>
      <c r="Z72" t="str">
        <f>IFERROR(VLOOKUP(#REF!&amp;"_"&amp;AA$7,Database!#REF!,6,0),"")</f>
        <v/>
      </c>
      <c r="AA72" t="str">
        <f>IFERROR(VLOOKUP(#REF!&amp;"_"&amp;AB$7,Database!#REF!,6,0),"")</f>
        <v/>
      </c>
      <c r="AB72" t="str">
        <f>IFERROR(VLOOKUP(#REF!&amp;"_"&amp;AC$7,Database!#REF!,6,0),"")</f>
        <v/>
      </c>
      <c r="AC72" t="str">
        <f>IFERROR(VLOOKUP(#REF!&amp;"_"&amp;AD$7,Database!#REF!,6,0),"")</f>
        <v/>
      </c>
      <c r="AD72" t="str">
        <f>IFERROR(VLOOKUP(#REF!&amp;"_"&amp;AE$7,Database!#REF!,6,0),"")</f>
        <v/>
      </c>
      <c r="AE72" t="str">
        <f>IFERROR(VLOOKUP(#REF!&amp;"_"&amp;AF$7,Database!#REF!,6,0),"")</f>
        <v/>
      </c>
      <c r="AF72" t="str">
        <f>IFERROR(VLOOKUP(#REF!&amp;"_"&amp;AG$7,Database!#REF!,6,0),"")</f>
        <v/>
      </c>
      <c r="AG72" t="str">
        <f>IFERROR(VLOOKUP(#REF!&amp;"_"&amp;AH$7,Database!#REF!,6,0),"")</f>
        <v/>
      </c>
      <c r="AH72" t="str">
        <f>IFERROR(VLOOKUP(#REF!&amp;"_"&amp;AI$7,Database!#REF!,6,0),"")</f>
        <v/>
      </c>
      <c r="AI72" t="str">
        <f>IFERROR(VLOOKUP(#REF!&amp;"_"&amp;AJ$7,Database!#REF!,6,0),"")</f>
        <v/>
      </c>
      <c r="AJ72" t="str">
        <f>IFERROR(VLOOKUP(#REF!&amp;"_"&amp;AK$7,Database!#REF!,6,0),"")</f>
        <v/>
      </c>
      <c r="AK72" t="str">
        <f>IFERROR(VLOOKUP(#REF!&amp;"_"&amp;AL$7,Database!#REF!,6,0),"")</f>
        <v/>
      </c>
    </row>
    <row r="73" spans="2:37" x14ac:dyDescent="0.25">
      <c r="B73" t="str">
        <f>IF('Employee Master'!B67="","",'Employee Master'!B67)</f>
        <v/>
      </c>
      <c r="G73" t="str">
        <f>IFERROR(VLOOKUP(#REF!&amp;"_"&amp;H$7,Database!#REF!,6,0),"")</f>
        <v/>
      </c>
      <c r="H73" t="str">
        <f>IFERROR(VLOOKUP(#REF!&amp;"_"&amp;I$7,Database!#REF!,6,0),"")</f>
        <v/>
      </c>
      <c r="I73" t="str">
        <f>IFERROR(VLOOKUP(#REF!&amp;"_"&amp;J$7,Database!#REF!,6,0),"")</f>
        <v/>
      </c>
      <c r="J73" t="str">
        <f>IFERROR(VLOOKUP(#REF!&amp;"_"&amp;K$7,Database!#REF!,6,0),"")</f>
        <v/>
      </c>
      <c r="K73" t="str">
        <f>IFERROR(VLOOKUP(#REF!&amp;"_"&amp;L$7,Database!#REF!,6,0),"")</f>
        <v/>
      </c>
      <c r="L73" t="str">
        <f>IFERROR(VLOOKUP(#REF!&amp;"_"&amp;M$7,Database!#REF!,6,0),"")</f>
        <v/>
      </c>
      <c r="M73" t="str">
        <f>IFERROR(VLOOKUP(#REF!&amp;"_"&amp;N$7,Database!#REF!,6,0),"")</f>
        <v/>
      </c>
      <c r="N73" t="str">
        <f>IFERROR(VLOOKUP(#REF!&amp;"_"&amp;O$7,Database!#REF!,6,0),"")</f>
        <v/>
      </c>
      <c r="O73" t="str">
        <f>IFERROR(VLOOKUP(#REF!&amp;"_"&amp;P$7,Database!#REF!,6,0),"")</f>
        <v/>
      </c>
      <c r="P73" t="str">
        <f>IFERROR(VLOOKUP(#REF!&amp;"_"&amp;Q$7,Database!#REF!,6,0),"")</f>
        <v/>
      </c>
      <c r="Q73" t="str">
        <f>IFERROR(VLOOKUP(#REF!&amp;"_"&amp;R$7,Database!#REF!,6,0),"")</f>
        <v/>
      </c>
      <c r="R73" t="str">
        <f>IFERROR(VLOOKUP(#REF!&amp;"_"&amp;S$7,Database!#REF!,6,0),"")</f>
        <v/>
      </c>
      <c r="S73" t="str">
        <f>IFERROR(VLOOKUP(#REF!&amp;"_"&amp;T$7,Database!#REF!,6,0),"")</f>
        <v/>
      </c>
      <c r="T73" t="str">
        <f>IFERROR(VLOOKUP(#REF!&amp;"_"&amp;U$7,Database!#REF!,6,0),"")</f>
        <v/>
      </c>
      <c r="U73" t="str">
        <f>IFERROR(VLOOKUP(#REF!&amp;"_"&amp;V$7,Database!#REF!,6,0),"")</f>
        <v/>
      </c>
      <c r="V73" t="str">
        <f>IFERROR(VLOOKUP(#REF!&amp;"_"&amp;W$7,Database!#REF!,6,0),"")</f>
        <v/>
      </c>
      <c r="W73" t="str">
        <f>IFERROR(VLOOKUP(#REF!&amp;"_"&amp;X$7,Database!#REF!,6,0),"")</f>
        <v/>
      </c>
      <c r="X73" t="str">
        <f>IFERROR(VLOOKUP(#REF!&amp;"_"&amp;Y$7,Database!#REF!,6,0),"")</f>
        <v/>
      </c>
      <c r="Y73" t="str">
        <f>IFERROR(VLOOKUP(#REF!&amp;"_"&amp;Z$7,Database!#REF!,6,0),"")</f>
        <v/>
      </c>
      <c r="Z73" t="str">
        <f>IFERROR(VLOOKUP(#REF!&amp;"_"&amp;AA$7,Database!#REF!,6,0),"")</f>
        <v/>
      </c>
      <c r="AA73" t="str">
        <f>IFERROR(VLOOKUP(#REF!&amp;"_"&amp;AB$7,Database!#REF!,6,0),"")</f>
        <v/>
      </c>
      <c r="AB73" t="str">
        <f>IFERROR(VLOOKUP(#REF!&amp;"_"&amp;AC$7,Database!#REF!,6,0),"")</f>
        <v/>
      </c>
      <c r="AC73" t="str">
        <f>IFERROR(VLOOKUP(#REF!&amp;"_"&amp;AD$7,Database!#REF!,6,0),"")</f>
        <v/>
      </c>
      <c r="AD73" t="str">
        <f>IFERROR(VLOOKUP(#REF!&amp;"_"&amp;AE$7,Database!#REF!,6,0),"")</f>
        <v/>
      </c>
      <c r="AE73" t="str">
        <f>IFERROR(VLOOKUP(#REF!&amp;"_"&amp;AF$7,Database!#REF!,6,0),"")</f>
        <v/>
      </c>
      <c r="AF73" t="str">
        <f>IFERROR(VLOOKUP(#REF!&amp;"_"&amp;AG$7,Database!#REF!,6,0),"")</f>
        <v/>
      </c>
      <c r="AG73" t="str">
        <f>IFERROR(VLOOKUP(#REF!&amp;"_"&amp;AH$7,Database!#REF!,6,0),"")</f>
        <v/>
      </c>
      <c r="AH73" t="str">
        <f>IFERROR(VLOOKUP(#REF!&amp;"_"&amp;AI$7,Database!#REF!,6,0),"")</f>
        <v/>
      </c>
      <c r="AI73" t="str">
        <f>IFERROR(VLOOKUP(#REF!&amp;"_"&amp;AJ$7,Database!#REF!,6,0),"")</f>
        <v/>
      </c>
      <c r="AJ73" t="str">
        <f>IFERROR(VLOOKUP(#REF!&amp;"_"&amp;AK$7,Database!#REF!,6,0),"")</f>
        <v/>
      </c>
      <c r="AK73" t="str">
        <f>IFERROR(VLOOKUP(#REF!&amp;"_"&amp;AL$7,Database!#REF!,6,0),"")</f>
        <v/>
      </c>
    </row>
    <row r="74" spans="2:37" x14ac:dyDescent="0.25">
      <c r="B74" t="str">
        <f>IF('Employee Master'!B68="","",'Employee Master'!B68)</f>
        <v/>
      </c>
      <c r="G74" t="str">
        <f>IFERROR(VLOOKUP(#REF!&amp;"_"&amp;H$7,Database!#REF!,6,0),"")</f>
        <v/>
      </c>
      <c r="H74" t="str">
        <f>IFERROR(VLOOKUP(#REF!&amp;"_"&amp;I$7,Database!#REF!,6,0),"")</f>
        <v/>
      </c>
      <c r="I74" t="str">
        <f>IFERROR(VLOOKUP(#REF!&amp;"_"&amp;J$7,Database!#REF!,6,0),"")</f>
        <v/>
      </c>
      <c r="J74" t="str">
        <f>IFERROR(VLOOKUP(#REF!&amp;"_"&amp;K$7,Database!#REF!,6,0),"")</f>
        <v/>
      </c>
      <c r="K74" t="str">
        <f>IFERROR(VLOOKUP(#REF!&amp;"_"&amp;L$7,Database!#REF!,6,0),"")</f>
        <v/>
      </c>
      <c r="L74" t="str">
        <f>IFERROR(VLOOKUP(#REF!&amp;"_"&amp;M$7,Database!#REF!,6,0),"")</f>
        <v/>
      </c>
      <c r="M74" t="str">
        <f>IFERROR(VLOOKUP(#REF!&amp;"_"&amp;N$7,Database!#REF!,6,0),"")</f>
        <v/>
      </c>
      <c r="N74" t="str">
        <f>IFERROR(VLOOKUP(#REF!&amp;"_"&amp;O$7,Database!#REF!,6,0),"")</f>
        <v/>
      </c>
      <c r="O74" t="str">
        <f>IFERROR(VLOOKUP(#REF!&amp;"_"&amp;P$7,Database!#REF!,6,0),"")</f>
        <v/>
      </c>
      <c r="P74" t="str">
        <f>IFERROR(VLOOKUP(#REF!&amp;"_"&amp;Q$7,Database!#REF!,6,0),"")</f>
        <v/>
      </c>
      <c r="Q74" t="str">
        <f>IFERROR(VLOOKUP(#REF!&amp;"_"&amp;R$7,Database!#REF!,6,0),"")</f>
        <v/>
      </c>
      <c r="R74" t="str">
        <f>IFERROR(VLOOKUP(#REF!&amp;"_"&amp;S$7,Database!#REF!,6,0),"")</f>
        <v/>
      </c>
      <c r="S74" t="str">
        <f>IFERROR(VLOOKUP(#REF!&amp;"_"&amp;T$7,Database!#REF!,6,0),"")</f>
        <v/>
      </c>
      <c r="T74" t="str">
        <f>IFERROR(VLOOKUP(#REF!&amp;"_"&amp;U$7,Database!#REF!,6,0),"")</f>
        <v/>
      </c>
      <c r="U74" t="str">
        <f>IFERROR(VLOOKUP(#REF!&amp;"_"&amp;V$7,Database!#REF!,6,0),"")</f>
        <v/>
      </c>
      <c r="V74" t="str">
        <f>IFERROR(VLOOKUP(#REF!&amp;"_"&amp;W$7,Database!#REF!,6,0),"")</f>
        <v/>
      </c>
      <c r="W74" t="str">
        <f>IFERROR(VLOOKUP(#REF!&amp;"_"&amp;X$7,Database!#REF!,6,0),"")</f>
        <v/>
      </c>
      <c r="X74" t="str">
        <f>IFERROR(VLOOKUP(#REF!&amp;"_"&amp;Y$7,Database!#REF!,6,0),"")</f>
        <v/>
      </c>
      <c r="Y74" t="str">
        <f>IFERROR(VLOOKUP(#REF!&amp;"_"&amp;Z$7,Database!#REF!,6,0),"")</f>
        <v/>
      </c>
      <c r="Z74" t="str">
        <f>IFERROR(VLOOKUP(#REF!&amp;"_"&amp;AA$7,Database!#REF!,6,0),"")</f>
        <v/>
      </c>
      <c r="AA74" t="str">
        <f>IFERROR(VLOOKUP(#REF!&amp;"_"&amp;AB$7,Database!#REF!,6,0),"")</f>
        <v/>
      </c>
      <c r="AB74" t="str">
        <f>IFERROR(VLOOKUP(#REF!&amp;"_"&amp;AC$7,Database!#REF!,6,0),"")</f>
        <v/>
      </c>
      <c r="AC74" t="str">
        <f>IFERROR(VLOOKUP(#REF!&amp;"_"&amp;AD$7,Database!#REF!,6,0),"")</f>
        <v/>
      </c>
      <c r="AD74" t="str">
        <f>IFERROR(VLOOKUP(#REF!&amp;"_"&amp;AE$7,Database!#REF!,6,0),"")</f>
        <v/>
      </c>
      <c r="AE74" t="str">
        <f>IFERROR(VLOOKUP(#REF!&amp;"_"&amp;AF$7,Database!#REF!,6,0),"")</f>
        <v/>
      </c>
      <c r="AF74" t="str">
        <f>IFERROR(VLOOKUP(#REF!&amp;"_"&amp;AG$7,Database!#REF!,6,0),"")</f>
        <v/>
      </c>
      <c r="AG74" t="str">
        <f>IFERROR(VLOOKUP(#REF!&amp;"_"&amp;AH$7,Database!#REF!,6,0),"")</f>
        <v/>
      </c>
      <c r="AH74" t="str">
        <f>IFERROR(VLOOKUP(#REF!&amp;"_"&amp;AI$7,Database!#REF!,6,0),"")</f>
        <v/>
      </c>
      <c r="AI74" t="str">
        <f>IFERROR(VLOOKUP(#REF!&amp;"_"&amp;AJ$7,Database!#REF!,6,0),"")</f>
        <v/>
      </c>
      <c r="AJ74" t="str">
        <f>IFERROR(VLOOKUP(#REF!&amp;"_"&amp;AK$7,Database!#REF!,6,0),"")</f>
        <v/>
      </c>
      <c r="AK74" t="str">
        <f>IFERROR(VLOOKUP(#REF!&amp;"_"&amp;AL$7,Database!#REF!,6,0),"")</f>
        <v/>
      </c>
    </row>
    <row r="75" spans="2:37" x14ac:dyDescent="0.25">
      <c r="B75" t="str">
        <f>IF('Employee Master'!B69="","",'Employee Master'!B69)</f>
        <v/>
      </c>
      <c r="G75" t="str">
        <f>IFERROR(VLOOKUP(#REF!&amp;"_"&amp;H$7,Database!#REF!,6,0),"")</f>
        <v/>
      </c>
      <c r="H75" t="str">
        <f>IFERROR(VLOOKUP(#REF!&amp;"_"&amp;I$7,Database!#REF!,6,0),"")</f>
        <v/>
      </c>
      <c r="I75" t="str">
        <f>IFERROR(VLOOKUP(#REF!&amp;"_"&amp;J$7,Database!#REF!,6,0),"")</f>
        <v/>
      </c>
      <c r="J75" t="str">
        <f>IFERROR(VLOOKUP(#REF!&amp;"_"&amp;K$7,Database!#REF!,6,0),"")</f>
        <v/>
      </c>
      <c r="K75" t="str">
        <f>IFERROR(VLOOKUP(#REF!&amp;"_"&amp;L$7,Database!#REF!,6,0),"")</f>
        <v/>
      </c>
      <c r="L75" t="str">
        <f>IFERROR(VLOOKUP(#REF!&amp;"_"&amp;M$7,Database!#REF!,6,0),"")</f>
        <v/>
      </c>
      <c r="M75" t="str">
        <f>IFERROR(VLOOKUP(#REF!&amp;"_"&amp;N$7,Database!#REF!,6,0),"")</f>
        <v/>
      </c>
      <c r="N75" t="str">
        <f>IFERROR(VLOOKUP(#REF!&amp;"_"&amp;O$7,Database!#REF!,6,0),"")</f>
        <v/>
      </c>
      <c r="O75" t="str">
        <f>IFERROR(VLOOKUP(#REF!&amp;"_"&amp;P$7,Database!#REF!,6,0),"")</f>
        <v/>
      </c>
      <c r="P75" t="str">
        <f>IFERROR(VLOOKUP(#REF!&amp;"_"&amp;Q$7,Database!#REF!,6,0),"")</f>
        <v/>
      </c>
      <c r="Q75" t="str">
        <f>IFERROR(VLOOKUP(#REF!&amp;"_"&amp;R$7,Database!#REF!,6,0),"")</f>
        <v/>
      </c>
      <c r="R75" t="str">
        <f>IFERROR(VLOOKUP(#REF!&amp;"_"&amp;S$7,Database!#REF!,6,0),"")</f>
        <v/>
      </c>
      <c r="S75" t="str">
        <f>IFERROR(VLOOKUP(#REF!&amp;"_"&amp;T$7,Database!#REF!,6,0),"")</f>
        <v/>
      </c>
      <c r="T75" t="str">
        <f>IFERROR(VLOOKUP(#REF!&amp;"_"&amp;U$7,Database!#REF!,6,0),"")</f>
        <v/>
      </c>
      <c r="U75" t="str">
        <f>IFERROR(VLOOKUP(#REF!&amp;"_"&amp;V$7,Database!#REF!,6,0),"")</f>
        <v/>
      </c>
      <c r="V75" t="str">
        <f>IFERROR(VLOOKUP(#REF!&amp;"_"&amp;W$7,Database!#REF!,6,0),"")</f>
        <v/>
      </c>
      <c r="W75" t="str">
        <f>IFERROR(VLOOKUP(#REF!&amp;"_"&amp;X$7,Database!#REF!,6,0),"")</f>
        <v/>
      </c>
      <c r="X75" t="str">
        <f>IFERROR(VLOOKUP(#REF!&amp;"_"&amp;Y$7,Database!#REF!,6,0),"")</f>
        <v/>
      </c>
      <c r="Y75" t="str">
        <f>IFERROR(VLOOKUP(#REF!&amp;"_"&amp;Z$7,Database!#REF!,6,0),"")</f>
        <v/>
      </c>
      <c r="Z75" t="str">
        <f>IFERROR(VLOOKUP(#REF!&amp;"_"&amp;AA$7,Database!#REF!,6,0),"")</f>
        <v/>
      </c>
      <c r="AA75" t="str">
        <f>IFERROR(VLOOKUP(#REF!&amp;"_"&amp;AB$7,Database!#REF!,6,0),"")</f>
        <v/>
      </c>
      <c r="AB75" t="str">
        <f>IFERROR(VLOOKUP(#REF!&amp;"_"&amp;AC$7,Database!#REF!,6,0),"")</f>
        <v/>
      </c>
      <c r="AC75" t="str">
        <f>IFERROR(VLOOKUP(#REF!&amp;"_"&amp;AD$7,Database!#REF!,6,0),"")</f>
        <v/>
      </c>
      <c r="AD75" t="str">
        <f>IFERROR(VLOOKUP(#REF!&amp;"_"&amp;AE$7,Database!#REF!,6,0),"")</f>
        <v/>
      </c>
      <c r="AE75" t="str">
        <f>IFERROR(VLOOKUP(#REF!&amp;"_"&amp;AF$7,Database!#REF!,6,0),"")</f>
        <v/>
      </c>
      <c r="AF75" t="str">
        <f>IFERROR(VLOOKUP(#REF!&amp;"_"&amp;AG$7,Database!#REF!,6,0),"")</f>
        <v/>
      </c>
      <c r="AG75" t="str">
        <f>IFERROR(VLOOKUP(#REF!&amp;"_"&amp;AH$7,Database!#REF!,6,0),"")</f>
        <v/>
      </c>
      <c r="AH75" t="str">
        <f>IFERROR(VLOOKUP(#REF!&amp;"_"&amp;AI$7,Database!#REF!,6,0),"")</f>
        <v/>
      </c>
      <c r="AI75" t="str">
        <f>IFERROR(VLOOKUP(#REF!&amp;"_"&amp;AJ$7,Database!#REF!,6,0),"")</f>
        <v/>
      </c>
      <c r="AJ75" t="str">
        <f>IFERROR(VLOOKUP(#REF!&amp;"_"&amp;AK$7,Database!#REF!,6,0),"")</f>
        <v/>
      </c>
      <c r="AK75" t="str">
        <f>IFERROR(VLOOKUP(#REF!&amp;"_"&amp;AL$7,Database!#REF!,6,0),"")</f>
        <v/>
      </c>
    </row>
    <row r="76" spans="2:37" x14ac:dyDescent="0.25">
      <c r="B76" t="str">
        <f>IF('Employee Master'!B70="","",'Employee Master'!B70)</f>
        <v/>
      </c>
    </row>
    <row r="77" spans="2:37" x14ac:dyDescent="0.25">
      <c r="B77" t="str">
        <f>IF('Employee Master'!B71="","",'Employee Master'!B71)</f>
        <v/>
      </c>
    </row>
    <row r="78" spans="2:37" x14ac:dyDescent="0.25">
      <c r="B78" t="str">
        <f>IF('Employee Master'!B72="","",'Employee Master'!B72)</f>
        <v/>
      </c>
    </row>
    <row r="79" spans="2:37" x14ac:dyDescent="0.25">
      <c r="B79" t="str">
        <f>IF('Employee Master'!B73="","",'Employee Master'!B73)</f>
        <v/>
      </c>
    </row>
    <row r="80" spans="2:37" x14ac:dyDescent="0.25">
      <c r="B80" t="str">
        <f>IF('Employee Master'!B74="","",'Employee Master'!B74)</f>
        <v/>
      </c>
    </row>
    <row r="81" spans="2:2" x14ac:dyDescent="0.25">
      <c r="B81" t="str">
        <f>IF('Employee Master'!B75="","",'Employee Master'!B75)</f>
        <v/>
      </c>
    </row>
    <row r="82" spans="2:2" x14ac:dyDescent="0.25">
      <c r="B82" t="str">
        <f>IF('Employee Master'!B76="","",'Employee Master'!B76)</f>
        <v/>
      </c>
    </row>
    <row r="83" spans="2:2" x14ac:dyDescent="0.25">
      <c r="B83" t="str">
        <f>IF('Employee Master'!B77="","",'Employee Master'!B77)</f>
        <v/>
      </c>
    </row>
    <row r="84" spans="2:2" x14ac:dyDescent="0.25">
      <c r="B84" t="str">
        <f>IF('Employee Master'!B78="","",'Employee Master'!B78)</f>
        <v/>
      </c>
    </row>
    <row r="85" spans="2:2" x14ac:dyDescent="0.25">
      <c r="B85" t="str">
        <f>IF('Employee Master'!B79="","",'Employee Master'!B79)</f>
        <v/>
      </c>
    </row>
    <row r="86" spans="2:2" x14ac:dyDescent="0.25">
      <c r="B86" t="str">
        <f>IF('Employee Master'!B80="","",'Employee Master'!B80)</f>
        <v/>
      </c>
    </row>
    <row r="87" spans="2:2" x14ac:dyDescent="0.25">
      <c r="B87" t="str">
        <f>IF('Employee Master'!B81="","",'Employee Master'!B81)</f>
        <v/>
      </c>
    </row>
    <row r="88" spans="2:2" x14ac:dyDescent="0.25">
      <c r="B88" t="str">
        <f>IF('Employee Master'!B82="","",'Employee Master'!B82)</f>
        <v/>
      </c>
    </row>
    <row r="89" spans="2:2" x14ac:dyDescent="0.25">
      <c r="B89" t="str">
        <f>IF('Employee Master'!B83="","",'Employee Master'!B83)</f>
        <v/>
      </c>
    </row>
    <row r="90" spans="2:2" x14ac:dyDescent="0.25">
      <c r="B90" t="str">
        <f>IF('Employee Master'!B84="","",'Employee Master'!B84)</f>
        <v/>
      </c>
    </row>
    <row r="91" spans="2:2" x14ac:dyDescent="0.25">
      <c r="B91" t="str">
        <f>IF('Employee Master'!B85="","",'Employee Master'!B85)</f>
        <v/>
      </c>
    </row>
    <row r="92" spans="2:2" x14ac:dyDescent="0.25">
      <c r="B92" t="str">
        <f>IF('Employee Master'!B86="","",'Employee Master'!B86)</f>
        <v/>
      </c>
    </row>
  </sheetData>
  <mergeCells count="8">
    <mergeCell ref="I2:O4"/>
    <mergeCell ref="F5:G5"/>
    <mergeCell ref="F2:G4"/>
    <mergeCell ref="Z2:AG4"/>
    <mergeCell ref="Z5:AG5"/>
    <mergeCell ref="I5:O5"/>
    <mergeCell ref="Q2:W4"/>
    <mergeCell ref="Q5:W5"/>
  </mergeCells>
  <conditionalFormatting sqref="H7:AL7">
    <cfRule type="notContainsBlanks" dxfId="8" priority="14">
      <formula>LEN(TRIM(H7))&gt;0</formula>
    </cfRule>
  </conditionalFormatting>
  <conditionalFormatting sqref="H8:AL26">
    <cfRule type="cellIs" dxfId="7" priority="4" operator="equal">
      <formula>"L"</formula>
    </cfRule>
    <cfRule type="cellIs" dxfId="6" priority="5" operator="equal">
      <formula>"A"</formula>
    </cfRule>
    <cfRule type="cellIs" dxfId="5" priority="6" operator="equal">
      <formula>"p"</formula>
    </cfRule>
  </conditionalFormatting>
  <conditionalFormatting sqref="H7:AL26">
    <cfRule type="cellIs" dxfId="4" priority="3" operator="equal">
      <formula>"SL"</formula>
    </cfRule>
  </conditionalFormatting>
  <conditionalFormatting sqref="A7:AL27">
    <cfRule type="expression" dxfId="3" priority="1">
      <formula>AND($A8 &lt;&gt; "",A$7)</formula>
    </cfRule>
  </conditionalFormatting>
  <dataValidations count="1">
    <dataValidation type="list" allowBlank="1" showInputMessage="1" showErrorMessage="1" sqref="C4">
      <formula1>Month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B0013004-5D7B-406A-B298-73B511B19669}">
            <xm:f>OR(TEXT(H$7,"DDDD")=settings!$E$2,TEXT(H$7,"DDDD")=settings!$E$3)</xm:f>
            <x14:dxf>
              <fill>
                <patternFill patternType="solid">
                  <fgColor theme="0" tint="-0.499984740745262"/>
                  <bgColor theme="0" tint="-0.499984740745262"/>
                </patternFill>
              </fill>
              <border>
                <vertical/>
                <horizontal/>
              </border>
            </x14:dxf>
          </x14:cfRule>
          <xm:sqref>H8:AL26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N26"/>
  <sheetViews>
    <sheetView showGridLines="0" workbookViewId="0">
      <selection activeCell="I24" sqref="I24"/>
    </sheetView>
  </sheetViews>
  <sheetFormatPr defaultRowHeight="15" x14ac:dyDescent="0.25"/>
  <cols>
    <col min="2" max="2" width="19.28515625" customWidth="1"/>
    <col min="3" max="3" width="20.42578125" customWidth="1"/>
    <col min="4" max="4" width="11.85546875" customWidth="1"/>
    <col min="5" max="5" width="9.5703125" bestFit="1" customWidth="1"/>
    <col min="6" max="6" width="10.5703125" customWidth="1"/>
    <col min="7" max="7" width="9.85546875" customWidth="1"/>
    <col min="8" max="8" width="10.28515625" customWidth="1"/>
    <col min="9" max="9" width="10.140625" customWidth="1"/>
    <col min="10" max="10" width="10.5703125" customWidth="1"/>
    <col min="11" max="32" width="9.42578125" bestFit="1" customWidth="1"/>
    <col min="33" max="62" width="10.140625" bestFit="1" customWidth="1"/>
    <col min="63" max="85" width="9.85546875" bestFit="1" customWidth="1"/>
    <col min="86" max="86" width="13.28515625" customWidth="1"/>
    <col min="87" max="87" width="11.85546875" customWidth="1"/>
    <col min="88" max="88" width="9.85546875" bestFit="1" customWidth="1"/>
    <col min="89" max="90" width="12.5703125" customWidth="1"/>
    <col min="91" max="91" width="12.140625" customWidth="1"/>
    <col min="92" max="92" width="12.7109375" customWidth="1"/>
    <col min="93" max="93" width="13" customWidth="1"/>
  </cols>
  <sheetData>
    <row r="1" spans="1:118" x14ac:dyDescent="0.25">
      <c r="D1" s="25" t="b">
        <v>1</v>
      </c>
    </row>
    <row r="4" spans="1:118" ht="15.75" x14ac:dyDescent="0.25">
      <c r="A4" s="3" t="s">
        <v>11</v>
      </c>
      <c r="B4" s="3" t="s">
        <v>10</v>
      </c>
      <c r="C4" s="3" t="s">
        <v>12</v>
      </c>
      <c r="D4" s="24">
        <v>44837</v>
      </c>
      <c r="E4" s="24">
        <f>D4+1</f>
        <v>44838</v>
      </c>
      <c r="F4" s="24">
        <f>E4+1</f>
        <v>44839</v>
      </c>
      <c r="G4" s="24">
        <f t="shared" ref="G4:BR4" si="0">F4+1</f>
        <v>44840</v>
      </c>
      <c r="H4" s="24">
        <f t="shared" si="0"/>
        <v>44841</v>
      </c>
      <c r="I4" s="24">
        <f t="shared" si="0"/>
        <v>44842</v>
      </c>
      <c r="J4" s="24">
        <f t="shared" si="0"/>
        <v>44843</v>
      </c>
      <c r="K4" s="24">
        <f t="shared" si="0"/>
        <v>44844</v>
      </c>
      <c r="L4" s="24">
        <f t="shared" si="0"/>
        <v>44845</v>
      </c>
      <c r="M4" s="24">
        <f t="shared" si="0"/>
        <v>44846</v>
      </c>
      <c r="N4" s="24">
        <f t="shared" si="0"/>
        <v>44847</v>
      </c>
      <c r="O4" s="24">
        <f t="shared" si="0"/>
        <v>44848</v>
      </c>
      <c r="P4" s="24">
        <f t="shared" si="0"/>
        <v>44849</v>
      </c>
      <c r="Q4" s="24">
        <f t="shared" si="0"/>
        <v>44850</v>
      </c>
      <c r="R4" s="24">
        <f t="shared" si="0"/>
        <v>44851</v>
      </c>
      <c r="S4" s="24">
        <f t="shared" si="0"/>
        <v>44852</v>
      </c>
      <c r="T4" s="24">
        <f t="shared" si="0"/>
        <v>44853</v>
      </c>
      <c r="U4" s="24">
        <f t="shared" si="0"/>
        <v>44854</v>
      </c>
      <c r="V4" s="24">
        <f t="shared" si="0"/>
        <v>44855</v>
      </c>
      <c r="W4" s="24">
        <f t="shared" si="0"/>
        <v>44856</v>
      </c>
      <c r="X4" s="24">
        <f t="shared" si="0"/>
        <v>44857</v>
      </c>
      <c r="Y4" s="24">
        <f t="shared" si="0"/>
        <v>44858</v>
      </c>
      <c r="Z4" s="24">
        <f t="shared" si="0"/>
        <v>44859</v>
      </c>
      <c r="AA4" s="24">
        <f t="shared" si="0"/>
        <v>44860</v>
      </c>
      <c r="AB4" s="24">
        <f t="shared" si="0"/>
        <v>44861</v>
      </c>
      <c r="AC4" s="24">
        <f t="shared" si="0"/>
        <v>44862</v>
      </c>
      <c r="AD4" s="24">
        <f t="shared" si="0"/>
        <v>44863</v>
      </c>
      <c r="AE4" s="24">
        <f t="shared" si="0"/>
        <v>44864</v>
      </c>
      <c r="AF4" s="24">
        <f t="shared" si="0"/>
        <v>44865</v>
      </c>
      <c r="AG4" s="24">
        <f t="shared" si="0"/>
        <v>44866</v>
      </c>
      <c r="AH4" s="24">
        <f t="shared" si="0"/>
        <v>44867</v>
      </c>
      <c r="AI4" s="24">
        <f t="shared" si="0"/>
        <v>44868</v>
      </c>
      <c r="AJ4" s="24">
        <f t="shared" si="0"/>
        <v>44869</v>
      </c>
      <c r="AK4" s="24">
        <f t="shared" si="0"/>
        <v>44870</v>
      </c>
      <c r="AL4" s="24">
        <f t="shared" si="0"/>
        <v>44871</v>
      </c>
      <c r="AM4" s="24">
        <f t="shared" si="0"/>
        <v>44872</v>
      </c>
      <c r="AN4" s="24">
        <f t="shared" si="0"/>
        <v>44873</v>
      </c>
      <c r="AO4" s="24">
        <f t="shared" si="0"/>
        <v>44874</v>
      </c>
      <c r="AP4" s="24">
        <f t="shared" si="0"/>
        <v>44875</v>
      </c>
      <c r="AQ4" s="24">
        <f t="shared" si="0"/>
        <v>44876</v>
      </c>
      <c r="AR4" s="24">
        <f t="shared" si="0"/>
        <v>44877</v>
      </c>
      <c r="AS4" s="24">
        <f t="shared" si="0"/>
        <v>44878</v>
      </c>
      <c r="AT4" s="24">
        <f t="shared" si="0"/>
        <v>44879</v>
      </c>
      <c r="AU4" s="24">
        <f t="shared" si="0"/>
        <v>44880</v>
      </c>
      <c r="AV4" s="24">
        <f t="shared" si="0"/>
        <v>44881</v>
      </c>
      <c r="AW4" s="24">
        <f t="shared" si="0"/>
        <v>44882</v>
      </c>
      <c r="AX4" s="24">
        <f t="shared" si="0"/>
        <v>44883</v>
      </c>
      <c r="AY4" s="24">
        <f t="shared" si="0"/>
        <v>44884</v>
      </c>
      <c r="AZ4" s="24">
        <f t="shared" si="0"/>
        <v>44885</v>
      </c>
      <c r="BA4" s="24">
        <f t="shared" si="0"/>
        <v>44886</v>
      </c>
      <c r="BB4" s="24">
        <f t="shared" si="0"/>
        <v>44887</v>
      </c>
      <c r="BC4" s="24">
        <f t="shared" si="0"/>
        <v>44888</v>
      </c>
      <c r="BD4" s="24">
        <f t="shared" si="0"/>
        <v>44889</v>
      </c>
      <c r="BE4" s="24">
        <f t="shared" si="0"/>
        <v>44890</v>
      </c>
      <c r="BF4" s="24">
        <f t="shared" si="0"/>
        <v>44891</v>
      </c>
      <c r="BG4" s="24">
        <f t="shared" si="0"/>
        <v>44892</v>
      </c>
      <c r="BH4" s="24">
        <f t="shared" si="0"/>
        <v>44893</v>
      </c>
      <c r="BI4" s="24">
        <f t="shared" si="0"/>
        <v>44894</v>
      </c>
      <c r="BJ4" s="24">
        <f t="shared" si="0"/>
        <v>44895</v>
      </c>
      <c r="BK4" s="24">
        <f t="shared" si="0"/>
        <v>44896</v>
      </c>
      <c r="BL4" s="24">
        <f t="shared" si="0"/>
        <v>44897</v>
      </c>
      <c r="BM4" s="24">
        <f t="shared" si="0"/>
        <v>44898</v>
      </c>
      <c r="BN4" s="24">
        <f t="shared" si="0"/>
        <v>44899</v>
      </c>
      <c r="BO4" s="24">
        <f t="shared" si="0"/>
        <v>44900</v>
      </c>
      <c r="BP4" s="24">
        <f t="shared" si="0"/>
        <v>44901</v>
      </c>
      <c r="BQ4" s="24">
        <f t="shared" si="0"/>
        <v>44902</v>
      </c>
      <c r="BR4" s="24">
        <f t="shared" si="0"/>
        <v>44903</v>
      </c>
      <c r="BS4" s="24">
        <f t="shared" ref="BS4:CO4" si="1">BR4+1</f>
        <v>44904</v>
      </c>
      <c r="BT4" s="24">
        <f t="shared" si="1"/>
        <v>44905</v>
      </c>
      <c r="BU4" s="24">
        <f t="shared" si="1"/>
        <v>44906</v>
      </c>
      <c r="BV4" s="24">
        <f t="shared" si="1"/>
        <v>44907</v>
      </c>
      <c r="BW4" s="24">
        <f t="shared" si="1"/>
        <v>44908</v>
      </c>
      <c r="BX4" s="24">
        <f t="shared" si="1"/>
        <v>44909</v>
      </c>
      <c r="BY4" s="24">
        <f t="shared" si="1"/>
        <v>44910</v>
      </c>
      <c r="BZ4" s="24">
        <f t="shared" si="1"/>
        <v>44911</v>
      </c>
      <c r="CA4" s="24">
        <f t="shared" si="1"/>
        <v>44912</v>
      </c>
      <c r="CB4" s="24">
        <f t="shared" si="1"/>
        <v>44913</v>
      </c>
      <c r="CC4" s="24">
        <f t="shared" si="1"/>
        <v>44914</v>
      </c>
      <c r="CD4" s="24">
        <f t="shared" si="1"/>
        <v>44915</v>
      </c>
      <c r="CE4" s="24">
        <f t="shared" si="1"/>
        <v>44916</v>
      </c>
      <c r="CF4" s="24">
        <f t="shared" si="1"/>
        <v>44917</v>
      </c>
      <c r="CG4" s="24">
        <f t="shared" si="1"/>
        <v>44918</v>
      </c>
      <c r="CH4" s="24">
        <f t="shared" si="1"/>
        <v>44919</v>
      </c>
      <c r="CI4" s="24">
        <f t="shared" si="1"/>
        <v>44920</v>
      </c>
      <c r="CJ4" s="24">
        <f t="shared" si="1"/>
        <v>44921</v>
      </c>
      <c r="CK4" s="24">
        <f t="shared" si="1"/>
        <v>44922</v>
      </c>
      <c r="CL4" s="24">
        <f t="shared" si="1"/>
        <v>44923</v>
      </c>
      <c r="CM4" s="24">
        <f t="shared" si="1"/>
        <v>44924</v>
      </c>
      <c r="CN4" s="24">
        <f t="shared" si="1"/>
        <v>44925</v>
      </c>
      <c r="CO4" s="24">
        <f t="shared" si="1"/>
        <v>44926</v>
      </c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</row>
    <row r="5" spans="1:118" x14ac:dyDescent="0.25">
      <c r="A5" s="32">
        <v>1231</v>
      </c>
      <c r="B5" s="26" t="s">
        <v>13</v>
      </c>
      <c r="C5" s="32"/>
      <c r="D5" s="26" t="s">
        <v>7</v>
      </c>
      <c r="E5" s="26" t="s">
        <v>6</v>
      </c>
      <c r="F5" s="26" t="s">
        <v>7</v>
      </c>
      <c r="G5" s="26" t="s">
        <v>7</v>
      </c>
      <c r="H5" s="26" t="s">
        <v>7</v>
      </c>
      <c r="I5" s="26" t="s">
        <v>7</v>
      </c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</row>
    <row r="6" spans="1:118" x14ac:dyDescent="0.25">
      <c r="A6" s="32">
        <v>2394</v>
      </c>
      <c r="B6" s="26" t="s">
        <v>14</v>
      </c>
      <c r="C6" s="32"/>
      <c r="D6" s="26" t="s">
        <v>7</v>
      </c>
      <c r="E6" s="26" t="s">
        <v>6</v>
      </c>
      <c r="F6" s="26" t="s">
        <v>7</v>
      </c>
      <c r="G6" s="26" t="s">
        <v>7</v>
      </c>
      <c r="H6" s="26" t="s">
        <v>6</v>
      </c>
      <c r="I6" s="26" t="s">
        <v>136</v>
      </c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</row>
    <row r="7" spans="1:118" x14ac:dyDescent="0.25">
      <c r="A7" s="26">
        <v>2768</v>
      </c>
      <c r="B7" s="26" t="s">
        <v>15</v>
      </c>
      <c r="C7" s="26"/>
      <c r="D7" s="26" t="s">
        <v>7</v>
      </c>
      <c r="E7" s="26" t="s">
        <v>6</v>
      </c>
      <c r="F7" s="26" t="s">
        <v>9</v>
      </c>
      <c r="G7" s="26" t="s">
        <v>7</v>
      </c>
      <c r="H7" s="26" t="s">
        <v>6</v>
      </c>
      <c r="I7" s="26" t="s">
        <v>136</v>
      </c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</row>
    <row r="8" spans="1:118" x14ac:dyDescent="0.25">
      <c r="A8" s="32">
        <v>1187</v>
      </c>
      <c r="B8" s="26" t="s">
        <v>16</v>
      </c>
      <c r="C8" s="32"/>
      <c r="D8" s="26" t="s">
        <v>7</v>
      </c>
      <c r="E8" s="26" t="s">
        <v>6</v>
      </c>
      <c r="F8" s="26" t="s">
        <v>9</v>
      </c>
      <c r="G8" s="26" t="s">
        <v>7</v>
      </c>
      <c r="H8" s="26" t="s">
        <v>6</v>
      </c>
      <c r="I8" s="26" t="s">
        <v>136</v>
      </c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</row>
    <row r="9" spans="1:118" x14ac:dyDescent="0.25">
      <c r="A9" s="26">
        <v>2694</v>
      </c>
      <c r="B9" s="26" t="s">
        <v>17</v>
      </c>
      <c r="C9" s="26"/>
      <c r="D9" s="26" t="s">
        <v>7</v>
      </c>
      <c r="E9" s="26" t="s">
        <v>6</v>
      </c>
      <c r="F9" s="26" t="s">
        <v>7</v>
      </c>
      <c r="G9" s="26" t="s">
        <v>8</v>
      </c>
      <c r="H9" s="26" t="s">
        <v>6</v>
      </c>
      <c r="I9" s="26" t="s">
        <v>136</v>
      </c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</row>
    <row r="10" spans="1:118" x14ac:dyDescent="0.25">
      <c r="A10" s="32">
        <v>1897</v>
      </c>
      <c r="B10" s="26" t="s">
        <v>18</v>
      </c>
      <c r="C10" s="32"/>
      <c r="D10" s="26" t="s">
        <v>7</v>
      </c>
      <c r="E10" s="26" t="s">
        <v>6</v>
      </c>
      <c r="F10" s="26" t="s">
        <v>7</v>
      </c>
      <c r="G10" s="26" t="s">
        <v>8</v>
      </c>
      <c r="H10" s="26" t="s">
        <v>6</v>
      </c>
      <c r="I10" s="26" t="s">
        <v>136</v>
      </c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</row>
    <row r="11" spans="1:118" x14ac:dyDescent="0.25">
      <c r="A11" s="32">
        <v>1096</v>
      </c>
      <c r="B11" s="26" t="s">
        <v>19</v>
      </c>
      <c r="C11" s="32"/>
      <c r="D11" s="26" t="s">
        <v>7</v>
      </c>
      <c r="E11" s="26" t="s">
        <v>6</v>
      </c>
      <c r="F11" s="26" t="s">
        <v>6</v>
      </c>
      <c r="G11" s="26" t="s">
        <v>8</v>
      </c>
      <c r="H11" s="26" t="s">
        <v>6</v>
      </c>
      <c r="I11" s="26" t="s">
        <v>136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</row>
    <row r="12" spans="1:118" x14ac:dyDescent="0.25">
      <c r="A12" s="32">
        <v>276</v>
      </c>
      <c r="B12" s="26" t="s">
        <v>20</v>
      </c>
      <c r="C12" s="32"/>
      <c r="D12" s="26" t="s">
        <v>7</v>
      </c>
      <c r="E12" s="26" t="s">
        <v>8</v>
      </c>
      <c r="F12" s="33" t="s">
        <v>6</v>
      </c>
      <c r="G12" s="26" t="s">
        <v>8</v>
      </c>
      <c r="H12" s="26" t="s">
        <v>6</v>
      </c>
      <c r="I12" s="26" t="s">
        <v>136</v>
      </c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</row>
    <row r="13" spans="1:118" x14ac:dyDescent="0.25">
      <c r="A13" s="26">
        <v>2671</v>
      </c>
      <c r="B13" s="26" t="s">
        <v>21</v>
      </c>
      <c r="C13" s="26"/>
      <c r="D13" s="26" t="s">
        <v>7</v>
      </c>
      <c r="E13" s="26" t="s">
        <v>6</v>
      </c>
      <c r="F13" s="26" t="s">
        <v>6</v>
      </c>
      <c r="G13" s="26" t="s">
        <v>6</v>
      </c>
      <c r="H13" s="26" t="s">
        <v>6</v>
      </c>
      <c r="I13" s="26" t="s">
        <v>136</v>
      </c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</row>
    <row r="14" spans="1:118" x14ac:dyDescent="0.25">
      <c r="A14" s="32">
        <v>1587</v>
      </c>
      <c r="B14" s="26" t="s">
        <v>22</v>
      </c>
      <c r="C14" s="32"/>
      <c r="D14" s="26" t="s">
        <v>7</v>
      </c>
      <c r="E14" s="26" t="s">
        <v>6</v>
      </c>
      <c r="F14" s="26" t="s">
        <v>6</v>
      </c>
      <c r="G14" s="26" t="s">
        <v>6</v>
      </c>
      <c r="H14" s="26" t="s">
        <v>6</v>
      </c>
      <c r="I14" s="26" t="s">
        <v>136</v>
      </c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</row>
    <row r="15" spans="1:118" x14ac:dyDescent="0.25">
      <c r="A15" s="32">
        <v>470</v>
      </c>
      <c r="B15" s="26" t="s">
        <v>23</v>
      </c>
      <c r="C15" s="32"/>
      <c r="D15" s="26" t="s">
        <v>7</v>
      </c>
      <c r="E15" s="26" t="s">
        <v>8</v>
      </c>
      <c r="F15" s="26" t="s">
        <v>6</v>
      </c>
      <c r="G15" s="26" t="s">
        <v>6</v>
      </c>
      <c r="H15" s="26" t="s">
        <v>6</v>
      </c>
      <c r="I15" s="26" t="s">
        <v>136</v>
      </c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</row>
    <row r="16" spans="1:118" x14ac:dyDescent="0.25">
      <c r="A16" s="32">
        <v>2651</v>
      </c>
      <c r="B16" s="26" t="s">
        <v>24</v>
      </c>
      <c r="C16" s="32"/>
      <c r="D16" s="26" t="s">
        <v>7</v>
      </c>
      <c r="E16" s="26" t="s">
        <v>8</v>
      </c>
      <c r="F16" s="26" t="s">
        <v>6</v>
      </c>
      <c r="G16" s="26" t="s">
        <v>6</v>
      </c>
      <c r="H16" s="26" t="s">
        <v>6</v>
      </c>
      <c r="I16" s="26" t="s">
        <v>136</v>
      </c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</row>
    <row r="17" spans="1:93" x14ac:dyDescent="0.25">
      <c r="A17" s="32">
        <v>2514</v>
      </c>
      <c r="B17" s="26" t="s">
        <v>25</v>
      </c>
      <c r="C17" s="26"/>
      <c r="D17" s="26" t="s">
        <v>7</v>
      </c>
      <c r="E17" s="26" t="s">
        <v>8</v>
      </c>
      <c r="F17" s="26" t="s">
        <v>6</v>
      </c>
      <c r="G17" s="26" t="s">
        <v>6</v>
      </c>
      <c r="H17" s="26" t="s">
        <v>6</v>
      </c>
      <c r="I17" s="26" t="s">
        <v>136</v>
      </c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</row>
    <row r="18" spans="1:93" x14ac:dyDescent="0.25">
      <c r="A18" s="32">
        <v>2228</v>
      </c>
      <c r="B18" s="26" t="s">
        <v>26</v>
      </c>
      <c r="C18" s="32"/>
      <c r="D18" s="26" t="s">
        <v>7</v>
      </c>
      <c r="E18" s="26" t="s">
        <v>8</v>
      </c>
      <c r="F18" s="26" t="s">
        <v>6</v>
      </c>
      <c r="G18" s="26" t="s">
        <v>6</v>
      </c>
      <c r="H18" s="26" t="s">
        <v>6</v>
      </c>
      <c r="I18" s="26" t="s">
        <v>136</v>
      </c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</row>
    <row r="19" spans="1:93" x14ac:dyDescent="0.25">
      <c r="A19" s="32">
        <v>2636</v>
      </c>
      <c r="B19" s="26" t="s">
        <v>27</v>
      </c>
      <c r="C19" s="32"/>
      <c r="D19" s="26" t="s">
        <v>7</v>
      </c>
      <c r="E19" s="26" t="s">
        <v>8</v>
      </c>
      <c r="F19" s="26" t="s">
        <v>6</v>
      </c>
      <c r="G19" s="26" t="s">
        <v>6</v>
      </c>
      <c r="H19" s="26" t="s">
        <v>6</v>
      </c>
      <c r="I19" s="26" t="s">
        <v>136</v>
      </c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</row>
    <row r="20" spans="1:93" x14ac:dyDescent="0.25">
      <c r="A20" s="32">
        <v>2738</v>
      </c>
      <c r="B20" s="26" t="s">
        <v>28</v>
      </c>
      <c r="C20" s="32"/>
      <c r="D20" s="26" t="s">
        <v>7</v>
      </c>
      <c r="E20" s="26" t="s">
        <v>8</v>
      </c>
      <c r="F20" s="26" t="s">
        <v>6</v>
      </c>
      <c r="G20" s="26" t="s">
        <v>6</v>
      </c>
      <c r="H20" s="26" t="s">
        <v>6</v>
      </c>
      <c r="I20" s="26" t="s">
        <v>136</v>
      </c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</row>
    <row r="21" spans="1:93" x14ac:dyDescent="0.25">
      <c r="A21" s="32">
        <v>1085</v>
      </c>
      <c r="B21" s="26" t="s">
        <v>29</v>
      </c>
      <c r="C21" s="26"/>
      <c r="D21" s="26" t="s">
        <v>7</v>
      </c>
      <c r="E21" s="26" t="s">
        <v>6</v>
      </c>
      <c r="F21" s="26" t="s">
        <v>6</v>
      </c>
      <c r="G21" s="26" t="s">
        <v>9</v>
      </c>
      <c r="H21" s="26" t="s">
        <v>6</v>
      </c>
      <c r="I21" s="26" t="s">
        <v>136</v>
      </c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</row>
    <row r="22" spans="1:93" x14ac:dyDescent="0.25">
      <c r="A22" s="32">
        <v>1749</v>
      </c>
      <c r="B22" s="26" t="s">
        <v>30</v>
      </c>
      <c r="C22" s="32"/>
      <c r="D22" s="26" t="s">
        <v>7</v>
      </c>
      <c r="E22" s="26" t="s">
        <v>6</v>
      </c>
      <c r="F22" s="26" t="s">
        <v>8</v>
      </c>
      <c r="G22" s="26" t="s">
        <v>9</v>
      </c>
      <c r="H22" s="26" t="s">
        <v>6</v>
      </c>
      <c r="I22" s="26" t="s">
        <v>136</v>
      </c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</row>
    <row r="23" spans="1:93" x14ac:dyDescent="0.25">
      <c r="A23" s="28">
        <v>2257</v>
      </c>
      <c r="B23" s="29" t="s">
        <v>31</v>
      </c>
      <c r="C23" s="30"/>
      <c r="D23" s="26" t="s">
        <v>7</v>
      </c>
      <c r="E23" s="26" t="s">
        <v>6</v>
      </c>
      <c r="F23" s="26" t="s">
        <v>8</v>
      </c>
      <c r="G23" s="26" t="s">
        <v>8</v>
      </c>
      <c r="H23" s="26" t="s">
        <v>6</v>
      </c>
      <c r="I23" s="26" t="s">
        <v>136</v>
      </c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</row>
    <row r="24" spans="1:93" x14ac:dyDescent="0.25">
      <c r="A24" s="31"/>
      <c r="B24" s="31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</row>
    <row r="25" spans="1:93" x14ac:dyDescent="0.25">
      <c r="A25" s="31"/>
      <c r="B25" s="31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</row>
    <row r="26" spans="1:93" x14ac:dyDescent="0.25">
      <c r="A26" s="22"/>
      <c r="B26" s="22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</row>
  </sheetData>
  <conditionalFormatting sqref="C24:C26">
    <cfRule type="expression" dxfId="1" priority="16">
      <formula>AND($A25&lt;&gt;"",C$4&lt;&gt;"")</formula>
    </cfRule>
  </conditionalFormatting>
  <conditionalFormatting sqref="A24:B26">
    <cfRule type="expression" dxfId="0" priority="18">
      <formula>AND($A25&lt;&gt;"",#REF!&lt;&gt;"")</formula>
    </cfRule>
  </conditionalFormatting>
  <dataValidations count="1">
    <dataValidation type="list" allowBlank="1" showInputMessage="1" showErrorMessage="1" sqref="D23:CO26 G12 A5:G11 A13:G22 A12:E12 H5:CO22">
      <formula1>Attendance_list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4</xdr:col>
                    <xdr:colOff>190500</xdr:colOff>
                    <xdr:row>0</xdr:row>
                    <xdr:rowOff>152400</xdr:rowOff>
                  </from>
                  <to>
                    <xdr:col>7</xdr:col>
                    <xdr:colOff>276225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Employee Master</vt:lpstr>
      <vt:lpstr>Database</vt:lpstr>
      <vt:lpstr>settings</vt:lpstr>
      <vt:lpstr>Attendance sheet</vt:lpstr>
      <vt:lpstr>Mark Attendance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bones</dc:creator>
  <cp:lastModifiedBy>mr bones</cp:lastModifiedBy>
  <dcterms:created xsi:type="dcterms:W3CDTF">2023-01-21T18:21:17Z</dcterms:created>
  <dcterms:modified xsi:type="dcterms:W3CDTF">2023-01-27T07:58:46Z</dcterms:modified>
</cp:coreProperties>
</file>